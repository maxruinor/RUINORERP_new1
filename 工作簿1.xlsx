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企业ERP安装\雷阳硅胶\"/>
    </mc:Choice>
  </mc:AlternateContent>
  <bookViews>
    <workbookView xWindow="0" yWindow="0" windowWidth="28800" windowHeight="12435"/>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01" i="1" l="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I206" i="1"/>
  <c r="D206" i="1"/>
  <c r="J206" i="1" s="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I187" i="1"/>
  <c r="D187" i="1"/>
  <c r="J187" i="1" s="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I148" i="1"/>
  <c r="D148" i="1"/>
  <c r="J148" i="1" s="1"/>
  <c r="J147" i="1"/>
  <c r="I147" i="1"/>
  <c r="D147" i="1"/>
  <c r="I146" i="1"/>
  <c r="D146" i="1"/>
  <c r="J146" i="1" s="1"/>
  <c r="I145" i="1"/>
  <c r="D145" i="1"/>
  <c r="J145" i="1" s="1"/>
  <c r="I144" i="1"/>
  <c r="D144" i="1"/>
  <c r="J144" i="1" s="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D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D53"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J41" i="1"/>
  <c r="I41" i="1"/>
  <c r="J40" i="1"/>
  <c r="I40" i="1"/>
  <c r="J39" i="1"/>
  <c r="I39" i="1"/>
  <c r="I38" i="1"/>
  <c r="D38" i="1"/>
  <c r="J38" i="1" s="1"/>
  <c r="J37" i="1"/>
  <c r="I37" i="1"/>
  <c r="J36" i="1"/>
  <c r="I36" i="1"/>
  <c r="J35" i="1"/>
  <c r="I35" i="1"/>
  <c r="J34" i="1"/>
  <c r="I34" i="1"/>
  <c r="J33" i="1"/>
  <c r="I33" i="1"/>
  <c r="J32" i="1"/>
  <c r="I32" i="1"/>
  <c r="I31" i="1"/>
  <c r="D31" i="1"/>
  <c r="J31" i="1" s="1"/>
  <c r="J30" i="1"/>
  <c r="I30" i="1"/>
  <c r="J29" i="1"/>
  <c r="I29" i="1"/>
  <c r="J28" i="1"/>
  <c r="I28" i="1"/>
  <c r="J27" i="1"/>
  <c r="I27" i="1"/>
  <c r="J26" i="1"/>
  <c r="I26" i="1"/>
  <c r="J25" i="1"/>
  <c r="I25" i="1"/>
  <c r="J24" i="1"/>
  <c r="I24" i="1"/>
  <c r="J23" i="1"/>
  <c r="I23" i="1"/>
  <c r="J22" i="1"/>
  <c r="I22" i="1"/>
  <c r="J21" i="1"/>
  <c r="I21" i="1"/>
  <c r="J20" i="1"/>
  <c r="J19" i="1"/>
  <c r="J18" i="1"/>
  <c r="J17" i="1"/>
  <c r="J16" i="1"/>
  <c r="J15" i="1"/>
  <c r="J14" i="1"/>
  <c r="I14" i="1"/>
  <c r="J13" i="1"/>
  <c r="I13" i="1"/>
  <c r="J12" i="1"/>
  <c r="I12" i="1"/>
  <c r="J11" i="1"/>
  <c r="I11" i="1"/>
  <c r="J10" i="1"/>
  <c r="I10" i="1"/>
  <c r="I9" i="1"/>
  <c r="D9" i="1"/>
  <c r="J9" i="1" s="1"/>
  <c r="I8" i="1"/>
  <c r="D8" i="1"/>
  <c r="J8" i="1" s="1"/>
  <c r="J7" i="1"/>
  <c r="I7" i="1"/>
  <c r="D7" i="1"/>
  <c r="J6" i="1"/>
  <c r="I6" i="1"/>
  <c r="J5" i="1"/>
  <c r="I5" i="1"/>
  <c r="J4" i="1"/>
  <c r="I4" i="1"/>
  <c r="J3" i="1"/>
  <c r="I3" i="1"/>
  <c r="J2" i="1"/>
  <c r="I2" i="1"/>
  <c r="C291" i="1"/>
  <c r="C275" i="1"/>
  <c r="C259" i="1"/>
  <c r="C243" i="1"/>
  <c r="C227" i="1"/>
  <c r="C211" i="1"/>
  <c r="C195" i="1"/>
  <c r="C174" i="1"/>
  <c r="C163" i="1"/>
  <c r="C138" i="1"/>
  <c r="C122" i="1"/>
  <c r="C106" i="1"/>
  <c r="C85" i="1"/>
  <c r="C69" i="1"/>
  <c r="C49" i="1"/>
  <c r="C45" i="1"/>
  <c r="C25" i="1"/>
  <c r="C19" i="1"/>
  <c r="C250" i="1"/>
  <c r="C134" i="1"/>
  <c r="C123" i="1"/>
  <c r="C296" i="1"/>
  <c r="C280" i="1"/>
  <c r="C264" i="1"/>
  <c r="C248" i="1"/>
  <c r="C232" i="1"/>
  <c r="C216" i="1"/>
  <c r="C200" i="1"/>
  <c r="C179" i="1"/>
  <c r="C152" i="1"/>
  <c r="C143" i="1"/>
  <c r="C127" i="1"/>
  <c r="C111" i="1"/>
  <c r="C90" i="1"/>
  <c r="C74" i="1"/>
  <c r="C58" i="1"/>
  <c r="C53" i="1"/>
  <c r="C12" i="1"/>
  <c r="C47" i="1"/>
  <c r="C32" i="1"/>
  <c r="C196" i="1"/>
  <c r="C180" i="1"/>
  <c r="C301" i="1"/>
  <c r="C285" i="1"/>
  <c r="C269" i="1"/>
  <c r="C253" i="1"/>
  <c r="C237" i="1"/>
  <c r="C221" i="1"/>
  <c r="C205" i="1"/>
  <c r="C189" i="1"/>
  <c r="C184" i="1"/>
  <c r="C168" i="1"/>
  <c r="C157" i="1"/>
  <c r="C147" i="1"/>
  <c r="C132" i="1"/>
  <c r="C116" i="1"/>
  <c r="C100" i="1"/>
  <c r="C95" i="1"/>
  <c r="C79" i="1"/>
  <c r="C63" i="1"/>
  <c r="C40" i="1"/>
  <c r="C35" i="1"/>
  <c r="C30" i="1"/>
  <c r="C18" i="1"/>
  <c r="C2" i="1"/>
  <c r="C290" i="1"/>
  <c r="C274" i="1"/>
  <c r="C258" i="1"/>
  <c r="C242" i="1"/>
  <c r="C226" i="1"/>
  <c r="C210" i="1"/>
  <c r="C194" i="1"/>
  <c r="C173" i="1"/>
  <c r="C162" i="1"/>
  <c r="C137" i="1"/>
  <c r="C121" i="1"/>
  <c r="C105" i="1"/>
  <c r="C84" i="1"/>
  <c r="C68" i="1"/>
  <c r="C24" i="1"/>
  <c r="C7" i="1"/>
  <c r="C10" i="1"/>
  <c r="C283" i="1"/>
  <c r="C203" i="1"/>
  <c r="C51" i="1"/>
  <c r="C28" i="1"/>
  <c r="C181" i="1"/>
  <c r="C165" i="1"/>
  <c r="C154" i="1"/>
  <c r="C129" i="1"/>
  <c r="C97" i="1"/>
  <c r="C27" i="1"/>
  <c r="C9" i="1"/>
  <c r="C239" i="1"/>
  <c r="C46" i="1"/>
  <c r="C37" i="1"/>
  <c r="C21" i="1"/>
  <c r="C164" i="1"/>
  <c r="C86" i="1"/>
  <c r="C297" i="1"/>
  <c r="C281" i="1"/>
  <c r="C144" i="1"/>
  <c r="C128" i="1"/>
  <c r="C59" i="1"/>
  <c r="C20" i="1"/>
  <c r="C133" i="1"/>
  <c r="C80" i="1"/>
  <c r="C41" i="1"/>
  <c r="C3" i="1"/>
  <c r="C295" i="1"/>
  <c r="C279" i="1"/>
  <c r="C263" i="1"/>
  <c r="C247" i="1"/>
  <c r="C231" i="1"/>
  <c r="C215" i="1"/>
  <c r="C199" i="1"/>
  <c r="C178" i="1"/>
  <c r="C151" i="1"/>
  <c r="C142" i="1"/>
  <c r="C126" i="1"/>
  <c r="C110" i="1"/>
  <c r="C89" i="1"/>
  <c r="C73" i="1"/>
  <c r="C57" i="1"/>
  <c r="C52" i="1"/>
  <c r="C48" i="1"/>
  <c r="C44" i="1"/>
  <c r="C17" i="1"/>
  <c r="C11" i="1"/>
  <c r="C300" i="1"/>
  <c r="C284" i="1"/>
  <c r="C268" i="1"/>
  <c r="C252" i="1"/>
  <c r="C236" i="1"/>
  <c r="C220" i="1"/>
  <c r="C204" i="1"/>
  <c r="C188" i="1"/>
  <c r="C183" i="1"/>
  <c r="C167" i="1"/>
  <c r="C156" i="1"/>
  <c r="C131" i="1"/>
  <c r="C115" i="1"/>
  <c r="C99" i="1"/>
  <c r="C94" i="1"/>
  <c r="C78" i="1"/>
  <c r="C62" i="1"/>
  <c r="C39" i="1"/>
  <c r="C34" i="1"/>
  <c r="C29" i="1"/>
  <c r="C56" i="1"/>
  <c r="C113" i="1"/>
  <c r="C14" i="1"/>
  <c r="C271" i="1"/>
  <c r="C153" i="1"/>
  <c r="C289" i="1"/>
  <c r="C273" i="1"/>
  <c r="C257" i="1"/>
  <c r="C241" i="1"/>
  <c r="C225" i="1"/>
  <c r="C209" i="1"/>
  <c r="C193" i="1"/>
  <c r="C172" i="1"/>
  <c r="C161" i="1"/>
  <c r="C146" i="1"/>
  <c r="C136" i="1"/>
  <c r="C120" i="1"/>
  <c r="C104" i="1"/>
  <c r="C83" i="1"/>
  <c r="C67" i="1"/>
  <c r="C23" i="1"/>
  <c r="C16" i="1"/>
  <c r="C6" i="1"/>
  <c r="C294" i="1"/>
  <c r="C278" i="1"/>
  <c r="C262" i="1"/>
  <c r="C246" i="1"/>
  <c r="C230" i="1"/>
  <c r="C214" i="1"/>
  <c r="C198" i="1"/>
  <c r="C177" i="1"/>
  <c r="C150" i="1"/>
  <c r="C141" i="1"/>
  <c r="C125" i="1"/>
  <c r="C109" i="1"/>
  <c r="C88" i="1"/>
  <c r="C72" i="1"/>
  <c r="C182" i="1"/>
  <c r="C166" i="1"/>
  <c r="C155" i="1"/>
  <c r="C93" i="1"/>
  <c r="C77" i="1"/>
  <c r="C61" i="1"/>
  <c r="C43" i="1"/>
  <c r="C33" i="1"/>
  <c r="C15" i="1"/>
  <c r="C266" i="1"/>
  <c r="C218" i="1"/>
  <c r="C202" i="1"/>
  <c r="C92" i="1"/>
  <c r="C207" i="1"/>
  <c r="C186" i="1"/>
  <c r="C102" i="1"/>
  <c r="C81" i="1"/>
  <c r="C50" i="1"/>
  <c r="C42" i="1"/>
  <c r="C4" i="1"/>
  <c r="C292" i="1"/>
  <c r="C276" i="1"/>
  <c r="C260" i="1"/>
  <c r="C107" i="1"/>
  <c r="C70" i="1"/>
  <c r="C249" i="1"/>
  <c r="C233" i="1"/>
  <c r="C112" i="1"/>
  <c r="C96" i="1"/>
  <c r="C91" i="1"/>
  <c r="C13" i="1"/>
  <c r="C254" i="1"/>
  <c r="C238" i="1"/>
  <c r="C185" i="1"/>
  <c r="C169" i="1"/>
  <c r="C158" i="1"/>
  <c r="C101" i="1"/>
  <c r="C31" i="1"/>
  <c r="C8" i="1"/>
  <c r="C299" i="1"/>
  <c r="C267" i="1"/>
  <c r="C251" i="1"/>
  <c r="C235" i="1"/>
  <c r="C219" i="1"/>
  <c r="C130" i="1"/>
  <c r="C114" i="1"/>
  <c r="C98" i="1"/>
  <c r="C298" i="1"/>
  <c r="C60" i="1"/>
  <c r="C148" i="1"/>
  <c r="C64" i="1"/>
  <c r="C288" i="1"/>
  <c r="C272" i="1"/>
  <c r="C256" i="1"/>
  <c r="C240" i="1"/>
  <c r="C224" i="1"/>
  <c r="C208" i="1"/>
  <c r="C192" i="1"/>
  <c r="C187" i="1"/>
  <c r="C171" i="1"/>
  <c r="C160" i="1"/>
  <c r="C135" i="1"/>
  <c r="C119" i="1"/>
  <c r="C103" i="1"/>
  <c r="C82" i="1"/>
  <c r="C66" i="1"/>
  <c r="C38" i="1"/>
  <c r="C22" i="1"/>
  <c r="C5" i="1"/>
  <c r="C293" i="1"/>
  <c r="C277" i="1"/>
  <c r="C261" i="1"/>
  <c r="C245" i="1"/>
  <c r="C229" i="1"/>
  <c r="C213" i="1"/>
  <c r="C197" i="1"/>
  <c r="C176" i="1"/>
  <c r="C149" i="1"/>
  <c r="C145" i="1"/>
  <c r="C140" i="1"/>
  <c r="C124" i="1"/>
  <c r="C108" i="1"/>
  <c r="C87" i="1"/>
  <c r="C71" i="1"/>
  <c r="C55" i="1"/>
  <c r="C282" i="1"/>
  <c r="C234" i="1"/>
  <c r="C76" i="1"/>
  <c r="C287" i="1"/>
  <c r="C255" i="1"/>
  <c r="C223" i="1"/>
  <c r="C191" i="1"/>
  <c r="C170" i="1"/>
  <c r="C159" i="1"/>
  <c r="C118" i="1"/>
  <c r="C65" i="1"/>
  <c r="C244" i="1"/>
  <c r="C228" i="1"/>
  <c r="C212" i="1"/>
  <c r="C175" i="1"/>
  <c r="C139" i="1"/>
  <c r="C54" i="1"/>
  <c r="C265" i="1"/>
  <c r="C217" i="1"/>
  <c r="C201" i="1"/>
  <c r="C75" i="1"/>
  <c r="C286" i="1"/>
  <c r="C270" i="1"/>
  <c r="C222" i="1"/>
  <c r="C190" i="1"/>
  <c r="C117" i="1"/>
  <c r="C36" i="1"/>
</calcChain>
</file>

<file path=xl/sharedStrings.xml><?xml version="1.0" encoding="utf-8"?>
<sst xmlns="http://schemas.openxmlformats.org/spreadsheetml/2006/main" count="1784" uniqueCount="706">
  <si>
    <t>供应商</t>
  </si>
  <si>
    <t>供货商来货品名</t>
  </si>
  <si>
    <t>图片</t>
  </si>
  <si>
    <t>单价（含采购运费）</t>
  </si>
  <si>
    <t>雷阳品名规格</t>
  </si>
  <si>
    <t>编码代码
（大类）</t>
  </si>
  <si>
    <t>编码代码
（小类）</t>
  </si>
  <si>
    <t>末位流水编号</t>
  </si>
  <si>
    <t>雷阳货号</t>
  </si>
  <si>
    <t>成本价（含打包费用及发货运费等）</t>
  </si>
  <si>
    <t>子件货号</t>
  </si>
  <si>
    <t>最新采购价格日期</t>
  </si>
  <si>
    <t>义乌市诗虹电子商务商行</t>
  </si>
  <si>
    <t>8连长方肥皂225手工皂烘焙糕点饼干松饼蛋糕模具甜点厨房工具 [快照]
颜色: 紫色</t>
  </si>
  <si>
    <t>8连长方肥皂蛋糕模紫色 2PCS</t>
  </si>
  <si>
    <t>BG</t>
  </si>
  <si>
    <t>01</t>
  </si>
  <si>
    <t>0001</t>
  </si>
  <si>
    <t>8连长方肥皂蛋糕模粉色 紫色 2PCS</t>
  </si>
  <si>
    <t>T2-BG</t>
  </si>
  <si>
    <t>东莞市桥头敏睿塑胶电子厂</t>
  </si>
  <si>
    <t>4孔玫瑰花钻石冰格模鸡尾酒冰块模 硅胶冰球制作器 亚马逊热销 颜色: 玫瑰花冰格墨绿</t>
  </si>
  <si>
    <t>玫瑰花钻石冰格4格墨绿</t>
  </si>
  <si>
    <t>0002</t>
  </si>
  <si>
    <t>4孔玫瑰花钻石冰格模鸡尾酒冰块模 硅胶冰球制作器 亚马逊热销 颜色: 玫瑰花冰格黑色</t>
  </si>
  <si>
    <t>玫瑰花钻石冰格4格黑色</t>
  </si>
  <si>
    <t>0003</t>
  </si>
  <si>
    <t>4孔玫瑰花钻石冰格模鸡尾酒冰块模 硅胶冰球制作器 亚马逊热销 颜色: 玫瑰花冰格灰色</t>
  </si>
  <si>
    <r>
      <t>玫瑰花钻石冰格</t>
    </r>
    <r>
      <rPr>
        <sz val="11"/>
        <rFont val="Arial"/>
        <family val="2"/>
      </rPr>
      <t>4</t>
    </r>
    <r>
      <rPr>
        <sz val="11"/>
        <rFont val="宋体"/>
        <family val="3"/>
        <charset val="134"/>
      </rPr>
      <t>格灰色</t>
    </r>
  </si>
  <si>
    <t>0004</t>
  </si>
  <si>
    <t xml:space="preserve">4孔玫瑰花钻石冰格模鸡尾酒冰块模 硅胶冰球制作器 亚马逊热销 </t>
  </si>
  <si>
    <t>玫瑰花钻石冰格4格墨绿2PCS</t>
  </si>
  <si>
    <t>0082</t>
  </si>
  <si>
    <t>4孔玫瑰花钻石冰格模鸡尾酒冰块模 硅胶冰球制作器 亚马逊热销</t>
  </si>
  <si>
    <t>玫瑰花钻石冰格4格黑色2PCS</t>
  </si>
  <si>
    <t>0083</t>
  </si>
  <si>
    <t>4孔玫瑰花钻石冰格模鸡尾酒冰块模 硅胶冰球制作器 亚马逊热销 颜</t>
  </si>
  <si>
    <r>
      <t>玫瑰花钻石冰格</t>
    </r>
    <r>
      <rPr>
        <sz val="11"/>
        <color indexed="8"/>
        <rFont val="Arial"/>
        <family val="2"/>
      </rPr>
      <t>4</t>
    </r>
    <r>
      <rPr>
        <sz val="11"/>
        <color indexed="8"/>
        <rFont val="宋体"/>
        <family val="3"/>
        <charset val="134"/>
      </rPr>
      <t>格灰色2PCS</t>
    </r>
  </si>
  <si>
    <t>0084</t>
  </si>
  <si>
    <t>东莞晖高橡塑科技有限公司</t>
  </si>
  <si>
    <t>硅胶条形冰格食品级带盖大号家用制冰盒调酒大冰块模具宝宝辅食盒 颜色: 绿色 规格: 4格带盖</t>
  </si>
  <si>
    <t>条形冰格4格带盖绿色</t>
  </si>
  <si>
    <t>0005</t>
  </si>
  <si>
    <t>硅胶条形冰格食品级带盖大号家用制冰盒调酒大冰块模具宝宝辅食盒 颜色: 黄色 规格: 4格带盖</t>
  </si>
  <si>
    <t>条形冰格4格带盖黄色</t>
  </si>
  <si>
    <t>0006</t>
  </si>
  <si>
    <t>硅胶条形冰格食品级带盖大号家用制冰盒调酒大冰块模具宝宝辅食盒 颜色: 白色 规格: 4格带盖</t>
  </si>
  <si>
    <t>条形冰格4格带盖白色</t>
  </si>
  <si>
    <t>0007</t>
  </si>
  <si>
    <t>硅胶条形冰格食品级带盖大号家用制冰盒调酒大冰块模具宝宝辅食盒 颜色: 紫色 规格: 4格带盖</t>
  </si>
  <si>
    <t>条形冰格4格带盖紫色</t>
  </si>
  <si>
    <t>0008</t>
  </si>
  <si>
    <t>义乌市易赛日用品有限公司</t>
  </si>
  <si>
    <t>创意蜂窝带盖37格制冰冰格冰箱自制冰块模具家用制冰盒冰模辅食 [快照]
颜色: 绿色  规格: 带盖OPP袋装</t>
  </si>
  <si>
    <t>37格蜂窝冰格绿色</t>
  </si>
  <si>
    <t>0009</t>
  </si>
  <si>
    <t>37格蜂窝冰格绿色-3PCs</t>
  </si>
  <si>
    <t>T3-BG010009-LV</t>
  </si>
  <si>
    <t>37格蜂窝冰格粉色-3PCs</t>
  </si>
  <si>
    <t>T3-BG010009-FEN</t>
  </si>
  <si>
    <t>37格蜂窝冰格蓝色-3PCs</t>
  </si>
  <si>
    <t>T3-BG010009-LAN</t>
  </si>
  <si>
    <t>37格蜂窝冰格黄色-3PCs</t>
  </si>
  <si>
    <t>T3-BG010009-HUANG</t>
  </si>
  <si>
    <t>37格蜂窝冰格白色-3PCs</t>
  </si>
  <si>
    <t>T3-BG010009-BAI</t>
  </si>
  <si>
    <t>37格蜂窝冰格紫色-3PCs</t>
  </si>
  <si>
    <t>T3-BG010009-ZI</t>
  </si>
  <si>
    <t>创意蜂窝带盖37格制冰冰格冰箱自制冰块模具家用制冰盒冰模辅食 [快照]
颜色: 白色  规格: 带盖OPP袋装</t>
  </si>
  <si>
    <t>37格蜂窝冰格白色</t>
  </si>
  <si>
    <t>0050</t>
  </si>
  <si>
    <t>创意蜂窝带盖37格制冰冰格冰箱自制冰块模具家用制冰盒冰模辅食 [快照]
颜色: 粉色  规格: 带盖OPP袋装</t>
  </si>
  <si>
    <t>37格蜂窝冰格粉色</t>
  </si>
  <si>
    <t>0047</t>
  </si>
  <si>
    <t>创意蜂窝带盖37格制冰冰格冰箱自制冰块模具家用制冰盒冰模辅食 [快照]
颜色: 蓝色  规格: 带盖OPP袋装</t>
  </si>
  <si>
    <t>37格蜂窝冰格蓝色</t>
  </si>
  <si>
    <t>0048</t>
  </si>
  <si>
    <t>创意蜂窝带盖37格制冰冰格冰箱自制冰块模具家用制冰盒冰模辅食 [快照]
颜色: 紫色  规格: 带盖OPP袋装</t>
  </si>
  <si>
    <t>37格蜂窝冰格紫色</t>
  </si>
  <si>
    <t>0049</t>
  </si>
  <si>
    <t>创意蜂窝带盖37格制冰冰格冰箱自制冰块模具家用制冰盒冰模辅食 [快照]
颜色: 黄色  规格: 带盖OPP袋装</t>
  </si>
  <si>
    <t>37格蜂窝冰格黄色</t>
  </si>
  <si>
    <t>0061</t>
  </si>
  <si>
    <t>冰格模具4球黑色无盖</t>
  </si>
  <si>
    <t>0088</t>
  </si>
  <si>
    <t>冰格模具6球黑色无盖</t>
  </si>
  <si>
    <t>0087</t>
  </si>
  <si>
    <t>改货号</t>
  </si>
  <si>
    <t xml:space="preserve">深圳市鸿鑫硅橡胶有限公司
</t>
  </si>
  <si>
    <t>食品级160格1cm小方块硅胶冰格 家用易清洗碎碎冰制冰盒模具 [快照]</t>
  </si>
  <si>
    <t>冰格模具方形15格黑色无盖</t>
  </si>
  <si>
    <t>0010</t>
  </si>
  <si>
    <t>东莞市名时硅胶制品有限公司</t>
  </si>
  <si>
    <t>硅胶10孔爱心冰格蛋糕模蜡烛模具巧克力烘焙模具手工皂模石膏模具 颜色: 红色</t>
  </si>
  <si>
    <r>
      <t>10</t>
    </r>
    <r>
      <rPr>
        <sz val="11"/>
        <rFont val="宋体"/>
        <family val="3"/>
        <charset val="134"/>
      </rPr>
      <t>孔爱心冰格模具红色</t>
    </r>
  </si>
  <si>
    <t>0011</t>
  </si>
  <si>
    <t>硅胶10孔爱心冰格蛋糕模蜡烛模具巧克力烘焙模具手工皂模石膏模具 颜色: 粉色</t>
  </si>
  <si>
    <r>
      <t>10</t>
    </r>
    <r>
      <rPr>
        <sz val="11"/>
        <rFont val="宋体"/>
        <family val="3"/>
        <charset val="134"/>
      </rPr>
      <t>孔爱心冰格模具粉色</t>
    </r>
  </si>
  <si>
    <t>0012</t>
  </si>
  <si>
    <t>硅胶10孔爱心冰格蛋糕模蜡烛模具巧克力烘焙模具手工皂模石膏模具</t>
  </si>
  <si>
    <t>10孔爱心冰格模具2pcs（红色+粉红色）</t>
  </si>
  <si>
    <t>0013</t>
  </si>
  <si>
    <t>余姚市蓝调电子商务商行</t>
  </si>
  <si>
    <t>蓝调 8腔椭圆 手工模具 DIY巧克力雪糕模 蛋糕模 食品级 不配棒 规格: 白色（不配棒）</t>
  </si>
  <si>
    <r>
      <t>8</t>
    </r>
    <r>
      <rPr>
        <sz val="11"/>
        <color indexed="8"/>
        <rFont val="宋体"/>
        <family val="3"/>
        <charset val="134"/>
      </rPr>
      <t>腔椭圆雪糕模白色</t>
    </r>
  </si>
  <si>
    <t>0014</t>
  </si>
  <si>
    <t>阳江市江城区紫云轩厨业制品有限公司</t>
  </si>
  <si>
    <t>厂家现货硅胶冰格15格方形制冰器DIY水果冰块模具创意果冻模 颜色: 绿色 规格: 15格（带盖）</t>
  </si>
  <si>
    <r>
      <t>冰格模具方形</t>
    </r>
    <r>
      <rPr>
        <sz val="11"/>
        <rFont val="Arial"/>
        <family val="2"/>
      </rPr>
      <t>15</t>
    </r>
    <r>
      <rPr>
        <sz val="11"/>
        <rFont val="宋体"/>
        <family val="3"/>
        <charset val="134"/>
      </rPr>
      <t>格带盖绿色</t>
    </r>
  </si>
  <si>
    <t>0015</t>
  </si>
  <si>
    <t>厂家现货硅胶冰格15格方形制冰器DIY水果冰块模具创意果冻模 颜色: 紫色 规格: 15格（带盖）</t>
  </si>
  <si>
    <r>
      <t>冰格模具方形</t>
    </r>
    <r>
      <rPr>
        <sz val="11"/>
        <rFont val="Arial"/>
        <family val="2"/>
      </rPr>
      <t>15</t>
    </r>
    <r>
      <rPr>
        <sz val="11"/>
        <rFont val="宋体"/>
        <family val="3"/>
        <charset val="134"/>
      </rPr>
      <t>格带盖紫色</t>
    </r>
  </si>
  <si>
    <t>0016</t>
  </si>
  <si>
    <t>厂家现货硅胶冰格15格方形制冰器DIY水果冰块模具创意果冻模 颜色: 粉色 规格: 15格（带盖）</t>
  </si>
  <si>
    <r>
      <t>冰格模具方形</t>
    </r>
    <r>
      <rPr>
        <sz val="11"/>
        <rFont val="Arial"/>
        <family val="2"/>
      </rPr>
      <t>15</t>
    </r>
    <r>
      <rPr>
        <sz val="11"/>
        <rFont val="宋体"/>
        <family val="3"/>
        <charset val="134"/>
      </rPr>
      <t>格带盖粉色</t>
    </r>
  </si>
  <si>
    <t>0017</t>
  </si>
  <si>
    <t>厂家现货硅胶冰格15格方形制冰器DIY水果冰块模具创意果冻模 颜色: 蓝色 规格: 15格（带盖）</t>
  </si>
  <si>
    <r>
      <t>冰格模具方形</t>
    </r>
    <r>
      <rPr>
        <sz val="11"/>
        <rFont val="Arial"/>
        <family val="2"/>
      </rPr>
      <t>15</t>
    </r>
    <r>
      <rPr>
        <sz val="11"/>
        <rFont val="宋体"/>
        <family val="3"/>
        <charset val="134"/>
      </rPr>
      <t>格带盖蓝色</t>
    </r>
  </si>
  <si>
    <t>0018</t>
  </si>
  <si>
    <t>阳江市承鸿工贸有限公司</t>
  </si>
  <si>
    <t>厂家批发创意硅胶冰格家用水果形状制冰模具易脱模DIY硅胶辅食盒 颜色: 冰格</t>
  </si>
  <si>
    <t>冰格水果形状绿色</t>
  </si>
  <si>
    <t>0019</t>
  </si>
  <si>
    <t>冰格水果形状绿色2PCS</t>
  </si>
  <si>
    <t>BG010019</t>
  </si>
  <si>
    <t>已录聚水潭</t>
  </si>
  <si>
    <t>东莞市烨霆橡胶制品有限公司</t>
  </si>
  <si>
    <t>硅胶冰格模具4方4球6方6球15格大冰块易脱模食品级软硅胶制盒带盖 [快照]
规格: 15方冰格无盖（约135g）</t>
  </si>
  <si>
    <r>
      <t>冰格模具方形</t>
    </r>
    <r>
      <rPr>
        <sz val="11"/>
        <color indexed="8"/>
        <rFont val="Arial"/>
        <family val="2"/>
      </rPr>
      <t>15方冰格带盖</t>
    </r>
  </si>
  <si>
    <t>0020</t>
  </si>
  <si>
    <t>东莞市象启工贸有限公司</t>
  </si>
  <si>
    <t>亚马逊饮料咖啡硅胶汽车杯架 沙发杯架多功能创意生活户外杯托 颜色: 经济款-白色</t>
  </si>
  <si>
    <t>沙发杯托盘白色</t>
  </si>
  <si>
    <t>0021</t>
  </si>
  <si>
    <t>亚马逊饮料咖啡硅胶汽车杯架 沙发杯架多功能创意生活户外杯托 颜色: 经济款-灰色</t>
  </si>
  <si>
    <t>沙发杯托盘灰色</t>
  </si>
  <si>
    <t>0022</t>
  </si>
  <si>
    <t>深圳市雷阳硅胶制品有限公司</t>
  </si>
  <si>
    <r>
      <t>雷阳冰格长条</t>
    </r>
    <r>
      <rPr>
        <sz val="11"/>
        <color indexed="8"/>
        <rFont val="Arial"/>
        <family val="2"/>
      </rPr>
      <t>4</t>
    </r>
    <r>
      <rPr>
        <sz val="11"/>
        <color indexed="8"/>
        <rFont val="宋体"/>
        <family val="3"/>
        <charset val="134"/>
      </rPr>
      <t>格黑色带盖</t>
    </r>
  </si>
  <si>
    <t>0023</t>
  </si>
  <si>
    <r>
      <t>雷阳冰格长条4</t>
    </r>
    <r>
      <rPr>
        <sz val="11"/>
        <color indexed="8"/>
        <rFont val="宋体"/>
        <family val="3"/>
        <charset val="134"/>
      </rPr>
      <t>格黑色 不带盖</t>
    </r>
  </si>
  <si>
    <t>0024</t>
  </si>
  <si>
    <r>
      <t>雷阳冰格长条4</t>
    </r>
    <r>
      <rPr>
        <sz val="11"/>
        <color indexed="8"/>
        <rFont val="宋体"/>
        <family val="3"/>
        <charset val="134"/>
      </rPr>
      <t>格粉色带盖</t>
    </r>
  </si>
  <si>
    <t>0025</t>
  </si>
  <si>
    <r>
      <t>雷阳雷阳冰格长条4</t>
    </r>
    <r>
      <rPr>
        <sz val="11"/>
        <color indexed="8"/>
        <rFont val="宋体"/>
        <family val="3"/>
        <charset val="134"/>
      </rPr>
      <t>格粉色不带盖</t>
    </r>
  </si>
  <si>
    <t>0044</t>
  </si>
  <si>
    <r>
      <t>雷阳冰格长条4</t>
    </r>
    <r>
      <rPr>
        <sz val="11"/>
        <color indexed="8"/>
        <rFont val="宋体"/>
        <family val="3"/>
        <charset val="134"/>
      </rPr>
      <t>格 蓝色带盖</t>
    </r>
  </si>
  <si>
    <t>0026</t>
  </si>
  <si>
    <r>
      <t>雷阳冰格长条4</t>
    </r>
    <r>
      <rPr>
        <sz val="11"/>
        <color indexed="8"/>
        <rFont val="宋体"/>
        <family val="3"/>
        <charset val="134"/>
      </rPr>
      <t>格 蓝色不带盖</t>
    </r>
  </si>
  <si>
    <t>0045</t>
  </si>
  <si>
    <r>
      <t>雷阳冰格长条4</t>
    </r>
    <r>
      <rPr>
        <sz val="11"/>
        <color indexed="8"/>
        <rFont val="宋体"/>
        <family val="3"/>
        <charset val="134"/>
      </rPr>
      <t>格黄色带盖</t>
    </r>
  </si>
  <si>
    <t>0027</t>
  </si>
  <si>
    <r>
      <t>雷阳冰格长条4</t>
    </r>
    <r>
      <rPr>
        <sz val="11"/>
        <color indexed="8"/>
        <rFont val="宋体"/>
        <family val="3"/>
        <charset val="134"/>
      </rPr>
      <t>格黄色不带盖</t>
    </r>
  </si>
  <si>
    <t>0046</t>
  </si>
  <si>
    <r>
      <t>雷阳冰格长条4</t>
    </r>
    <r>
      <rPr>
        <sz val="11"/>
        <color indexed="8"/>
        <rFont val="宋体"/>
        <family val="3"/>
        <charset val="134"/>
      </rPr>
      <t>格 深绿色带盖</t>
    </r>
  </si>
  <si>
    <t>0028</t>
  </si>
  <si>
    <r>
      <t>雷阳冰格长条4</t>
    </r>
    <r>
      <rPr>
        <sz val="11"/>
        <color indexed="8"/>
        <rFont val="宋体"/>
        <family val="3"/>
        <charset val="134"/>
      </rPr>
      <t>格 深绿色不带盖</t>
    </r>
  </si>
  <si>
    <t>0051</t>
  </si>
  <si>
    <t xml:space="preserve"> </t>
  </si>
  <si>
    <t>厂家供应万圣节骷髅头冰格四孔连骷髅头冰格骷髅头冰格模具硅胶</t>
  </si>
  <si>
    <t>四个骷髅头冰格黑色</t>
  </si>
  <si>
    <t>0029</t>
  </si>
  <si>
    <t>四个骷髅头冰格黑色2PCS</t>
  </si>
  <si>
    <t>0086</t>
  </si>
  <si>
    <t>猴狮马</t>
  </si>
  <si>
    <t>硅胶心型冰格冰块模具爱心史丹利冰格模具食品级带盖易脱模硅胶制冰格模具</t>
  </si>
  <si>
    <t>爱心三格冰格模具紫色</t>
  </si>
  <si>
    <t>0030</t>
  </si>
  <si>
    <t>爱心三格冰格模具蓝色</t>
  </si>
  <si>
    <t>0031</t>
  </si>
  <si>
    <t>爱心三格冰格模具粉色</t>
  </si>
  <si>
    <t>0032</t>
  </si>
  <si>
    <t>爱心三格冰格模具绿色</t>
  </si>
  <si>
    <t>0033</t>
  </si>
  <si>
    <t>深圳市宇之铭科技有限公司</t>
  </si>
  <si>
    <t>跨境食品级硅胶AS材质易脱模冰球模具圆形冰块制作威士忌家用冰格 颜色: 黑色 规格: 2个装/盒（0.12kg，包装7*7*8.5cm）</t>
  </si>
  <si>
    <t>灯泡冰球模具圆形黑色2个装</t>
  </si>
  <si>
    <t>0034</t>
  </si>
  <si>
    <t>跨境食品级硅胶AS材质易脱模冰球模具圆形冰块制作威士忌家用冰格 颜色: 黑色 规格: 4个装/盒（0.24kg，包装7*7*17cm）</t>
  </si>
  <si>
    <t>灯泡冰球模具圆形黑色4个装</t>
  </si>
  <si>
    <t>0035</t>
  </si>
  <si>
    <t>阳江市一浩工贸有限公司</t>
  </si>
  <si>
    <t>现货厂家批发烘焙工具巧克力硅胶融壶巧克力硅胶分配器硅胶分装壶 规格: 巧克力色硅胶融壶</t>
  </si>
  <si>
    <t>巧克力分装壶巧克力色</t>
  </si>
  <si>
    <t>0036</t>
  </si>
  <si>
    <t>现货厂家批发烘焙工具巧克力硅胶融壶巧克力硅胶分配器硅胶分装壶 规格: 红色硅胶融壶</t>
  </si>
  <si>
    <t>巧克力分装壶红色</t>
  </si>
  <si>
    <t>0037</t>
  </si>
  <si>
    <t>现货厂家批发烘焙工具巧克力硅胶融壶巧克力硅胶分配器硅胶分装壶 规格: 绿色硅胶融壶</t>
  </si>
  <si>
    <t>巧克力分装壶绿色</t>
  </si>
  <si>
    <t>0038</t>
  </si>
  <si>
    <t>义乌市华涛塑料制品有限公司</t>
  </si>
  <si>
    <t>跨境新品Ninja Creami 奶油豪华冰淇淋杯适用于Ninja NC500 NC501 颜色: 四色罐子各一【纸盒装】</t>
  </si>
  <si>
    <t>冰淇淋罐子四色各1个</t>
  </si>
  <si>
    <t>0039</t>
  </si>
  <si>
    <t>义乌市禾卉日用品厂</t>
  </si>
  <si>
    <t>跨境圆筒冰格硅胶冰块模具迷你大号冰桶冰块杯易脱膜制冰杯储冰盒 [快照]
颜色: 大号OP装蓝色（8*9cm）</t>
  </si>
  <si>
    <t>圆筒冰块模具制冰桶大号OP装蓝色（8*9cm）</t>
  </si>
  <si>
    <t>0040</t>
  </si>
  <si>
    <t>跨境圆筒冰格硅胶冰块模具迷你大号冰桶冰块杯易脱膜制冰杯储冰盒 [快照]
颜色: 大号OP装黄色（8*9cm）</t>
  </si>
  <si>
    <t>圆筒冰块模具大号OP装黄色（8*9cm）</t>
  </si>
  <si>
    <t>0041</t>
  </si>
  <si>
    <t>跨境圆筒冰格硅胶冰块模具迷你大号冰桶冰块杯易脱膜制冰杯储冰盒 [快照]
颜色: 大号OP装灰色（8*9cm）</t>
  </si>
  <si>
    <t>圆筒冰块模具大号OP装灰色（8*9cm）</t>
  </si>
  <si>
    <t>0042</t>
  </si>
  <si>
    <t>平阳县品序工艺品厂</t>
  </si>
  <si>
    <t>跨境现货 硅胶冰桶 制冰杯硅胶制冰块器圆形大号硅胶冰酒桶格厂家 尺寸: OPP装</t>
  </si>
  <si>
    <t>冰桶13.5*13.5*15CM 980CL蓝色</t>
  </si>
  <si>
    <t>0043</t>
  </si>
  <si>
    <t>鲁兴</t>
  </si>
  <si>
    <t>冰淇淋分装瓶中号</t>
  </si>
  <si>
    <t>MZ</t>
  </si>
  <si>
    <t>冰淇淋分装瓶小号</t>
  </si>
  <si>
    <t>冰淇淋分装瓶大号</t>
  </si>
  <si>
    <t>热气球分装瓶中号</t>
  </si>
  <si>
    <t>热气球分装瓶小号</t>
  </si>
  <si>
    <t>热气球分装瓶大号</t>
  </si>
  <si>
    <t>猫爪雪糕支架粉色</t>
  </si>
  <si>
    <t>02</t>
  </si>
  <si>
    <t>猫爪雪糕支架绿色</t>
  </si>
  <si>
    <t>猫爪雪糕支架黄色</t>
  </si>
  <si>
    <t>猫爪雪糕支架蓝色</t>
  </si>
  <si>
    <t>义乌市兆策电子商务商行</t>
  </si>
  <si>
    <t>卡通儿童吃冰棒棍雪糕冰淇淋神器防滴漏支架便携免脏保护套托盘子 规格: 雪糕 支架【粉色】</t>
  </si>
  <si>
    <t>雪糕防滴漏支架粉色</t>
  </si>
  <si>
    <t>卡通儿童吃冰棒棍雪糕冰淇淋神器防滴漏支架便携免脏保护套托盘子 规格: 雪糕 支架【兰色】</t>
  </si>
  <si>
    <t>雪糕防滴漏支架蓝色</t>
  </si>
  <si>
    <t>卡通儿童吃冰棒棍雪糕冰淇淋神器防滴漏支架便携免脏保护套托盘子 规格: 雪糕 支架【黄色】</t>
  </si>
  <si>
    <t>雪糕防滴漏支架黄色</t>
  </si>
  <si>
    <t>卡通儿童吃冰棒棍雪糕冰淇淋神器防滴漏支架便携免脏保护套托盘子 规格: 雪糕 支架【绿色】</t>
  </si>
  <si>
    <t>雪糕防滴漏支架绿色</t>
  </si>
  <si>
    <t>义乌市晨梦家居用品有限公司</t>
  </si>
  <si>
    <t>硅胶雪糕模具儿童自制DIY冰淇淋奶酪棒模 卡通带盖果冻布丁棒冰盒 颜色: 卡通蓝色</t>
  </si>
  <si>
    <t>雪糕模具卡通蓝色</t>
  </si>
  <si>
    <t>硅胶雪糕模具儿童自制DIY冰淇淋奶酪棒模 卡通带盖果冻布丁棒冰盒 颜色: 卡通粉色</t>
  </si>
  <si>
    <t>雪糕模具卡通粉色</t>
  </si>
  <si>
    <t>硅胶雪糕模具儿童自制DIY冰淇淋奶酪棒模 卡通带盖果冻布丁棒冰盒 颜色: 熊掌粉色</t>
  </si>
  <si>
    <t>雪糕模具熊掌粉色</t>
  </si>
  <si>
    <t>硅胶雪糕模具儿童自制DIY冰淇淋奶酪棒模 卡通带盖果冻布丁棒冰盒 颜色: 熊掌黄色</t>
  </si>
  <si>
    <t>雪糕模具熊掌黄色</t>
  </si>
  <si>
    <t>硅胶雪糕模具儿童自制DIY冰淇淋奶酪棒模 卡通带盖果冻布丁棒冰盒 颜色: 卡通黄色</t>
  </si>
  <si>
    <t>雪糕模具卡通黄色</t>
  </si>
  <si>
    <t>硅胶雪糕模具儿童自制DIY冰淇淋奶酪棒模 卡通带盖果冻布丁棒冰盒 颜色: 水果菠萝粉色</t>
  </si>
  <si>
    <t>雪糕模具水果粉色</t>
  </si>
  <si>
    <t>硅胶雪糕模具儿童自制DIY冰淇淋奶酪棒模 卡通带盖果冻布丁棒冰盒 颜色: 水果菠萝蓝色</t>
  </si>
  <si>
    <t>雪糕模具水果蓝色</t>
  </si>
  <si>
    <t>硅胶雪糕模具儿童自制DIY冰淇淋奶酪棒模 卡通带盖果冻布丁棒冰盒 颜色: 水果菠萝黄色</t>
  </si>
  <si>
    <t>雪糕模具水果黄色</t>
  </si>
  <si>
    <t>硅胶雪糕模具儿童自制DIY冰淇淋奶酪棒模 卡通带盖果冻布丁棒冰盒 颜色: 熊掌蓝色</t>
  </si>
  <si>
    <t>雪糕模具熊掌蓝色</t>
  </si>
  <si>
    <t>儿童雪糕冰棍冰淇淋防滴漏托盘支架2合1可重复使用防脏手滴落ice 颜色: 紫色（单个OPP袋）</t>
  </si>
  <si>
    <t>雪糕托盘支架紫色</t>
  </si>
  <si>
    <t>儿童雪糕冰棍冰淇淋防滴漏托盘支架2合1可重复使用防脏手滴落ice 颜色: 绿色（单个OPP袋）</t>
  </si>
  <si>
    <t>雪糕托盘支架绿色</t>
  </si>
  <si>
    <t>儿童雪糕冰棍冰淇淋防滴漏托盘支架2合1可重复使用防脏手滴落ice 颜色: 黄色（单个OPP袋）</t>
  </si>
  <si>
    <t>雪糕托盘支架黄色</t>
  </si>
  <si>
    <t>雪糕托盘支架红色</t>
  </si>
  <si>
    <t>雪糕托盘支架红+黄+緑+紫4PCS</t>
  </si>
  <si>
    <t>阳江市欣安光电材料有限公司</t>
  </si>
  <si>
    <t>厂家现货饭勺不粘锅硅胶家用饭更不粘米饭食品级耐高温饭勺 [快照]
尺寸: 红色</t>
  </si>
  <si>
    <t>不粘锅硅胶饭勺红色</t>
  </si>
  <si>
    <t>CJ</t>
  </si>
  <si>
    <t>厂家现货饭勺不粘锅硅胶家用饭更不粘米饭食品级耐高温饭勺 [快照]
尺寸: 黑色</t>
  </si>
  <si>
    <t>不粘锅硅胶饭勺黑色</t>
  </si>
  <si>
    <t>阳江市江城区智佳五金制品厂</t>
  </si>
  <si>
    <t>高级灰硅胶锅铲汤勺不粘锅专用炒菜铲子食品级家用铲勺套装一体 尺寸: 白灰双色硅胶 四件套</t>
  </si>
  <si>
    <t>铲勺套装一体四件套白色</t>
  </si>
  <si>
    <t>宝雄硅胶制品厂</t>
  </si>
  <si>
    <t>铲勺套装一体三件套白色</t>
  </si>
  <si>
    <t>0003-3</t>
  </si>
  <si>
    <t>阳江市爱尚工贸有限公司</t>
  </si>
  <si>
    <t>现货玉子烧铲不粘锅专用铲半透硅胶煎铲煎蛋宽面铲煎锅厨房工具 尺寸: 头粉柄绿</t>
  </si>
  <si>
    <t>不粘锅专用铲头粉柄绿玉米铲</t>
  </si>
  <si>
    <t>阳江市江城区振欣五金经营部</t>
  </si>
  <si>
    <t>硅胶锅铲中华铲 耐高温一体硅胶锅铲硅胶汤勺 食品级不粘锅铲套装 [快照]
尺寸: 红色  套件数量: 五件套</t>
  </si>
  <si>
    <t>漏勺汤勺套装厨具五件套红色</t>
  </si>
  <si>
    <t>批发家用不粘锅硅胶中华铲耐高温铲勺套装漏勺汤勺套装厨具五件套 尺寸: SG-婴儿奶嘴级黑色五件套</t>
  </si>
  <si>
    <t>漏勺汤勺套装厨具五件套黑色</t>
  </si>
  <si>
    <t>硅胶锅铲中华铲 耐高温一体硅胶锅铲硅胶汤勺 食品级不粘锅铲套装 [快照]
尺寸: 墨绿色  套件数量: 五件套</t>
  </si>
  <si>
    <t>漏勺汤勺套装厨具五件套绿色</t>
  </si>
  <si>
    <t>义乌市拉本电子商务有限公司</t>
  </si>
  <si>
    <t>不倒翁防粘米饭勺新款家用可立式不伤锅盛饭勺易清洗打饭勺子厨房 规格: 不倒翁饭勺 颜色: 白色</t>
  </si>
  <si>
    <t>不倒翁饭勺白色</t>
  </si>
  <si>
    <t>不倒翁防粘米饭勺新款家用可立式不伤锅盛饭勺易清洗打饭勺子厨房 规格: 不倒翁饭勺 颜色: 蓝色</t>
  </si>
  <si>
    <t>不倒翁饭勺蓝色</t>
  </si>
  <si>
    <t>不倒翁防粘米饭勺新款家用可立式不伤锅盛饭勺易清洗打饭勺子厨房 规格: 不倒翁饭勺 颜色: 粉色</t>
  </si>
  <si>
    <t>不倒翁饭勺粉色</t>
  </si>
  <si>
    <t>阳江市鑫铄工贸有限公司</t>
  </si>
  <si>
    <t>现货供应新款半透明彩色硅胶锅铲不粘锅中华铲烹饪勺铲炒菜铲家用 尺寸: 半透绿色（70g） 套件数量: 锅铲</t>
  </si>
  <si>
    <t>锅铲半透绿色</t>
  </si>
  <si>
    <t>硅胶锅铲不粘锅硅胶铲长柄半透硅胶铲食品级耐高温家用硅胶铲批发 尺寸: 半透锅铲紫色</t>
  </si>
  <si>
    <t>锅铲半透紫色</t>
  </si>
  <si>
    <t>硅胶锅铲不粘锅硅胶铲长柄半透硅胶铲食品级耐高温家用硅胶铲批发 尺寸: 半透锅铲蓝色</t>
  </si>
  <si>
    <t>锅铲半透蓝色</t>
  </si>
  <si>
    <t>硅胶锅铲不粘锅硅胶铲长柄半透硅胶铲食品级耐高温家用硅胶铲批发 尺寸: 半透锅铲玫红色</t>
  </si>
  <si>
    <t>锅铲半透红色</t>
  </si>
  <si>
    <t>阳江市诺品工贸有限公司</t>
  </si>
  <si>
    <t>烤箱专用食品级硅胶手套 空气炸锅加厚耐高温家用烘焙手夹 防烫夹 颜色: 绿色 规格: 单只73g（袋装）</t>
  </si>
  <si>
    <r>
      <t>硅胶手套防烫手套</t>
    </r>
    <r>
      <rPr>
        <sz val="11"/>
        <color indexed="8"/>
        <rFont val="Arial"/>
        <family val="2"/>
      </rPr>
      <t>73g</t>
    </r>
    <r>
      <rPr>
        <sz val="11"/>
        <color indexed="8"/>
        <rFont val="宋体"/>
        <family val="3"/>
        <charset val="134"/>
      </rPr>
      <t>绿色</t>
    </r>
  </si>
  <si>
    <t>烤箱专用食品级硅胶手套 空气炸锅加厚耐高温家用烘焙手夹 防烫夹 颜色: 蓝色 规格: 单只73g（袋装）</t>
  </si>
  <si>
    <r>
      <t>硅胶手套防烫手套</t>
    </r>
    <r>
      <rPr>
        <sz val="11"/>
        <color indexed="8"/>
        <rFont val="Arial"/>
        <family val="2"/>
      </rPr>
      <t>73g蓝色</t>
    </r>
  </si>
  <si>
    <t>揭阳市美宜家五金塑胶实业有限公司</t>
  </si>
  <si>
    <t>家用取碗夹防烫夹提盘器厨房工具碗夹盘子蒸菜夹砂锅夹防滑隔热夹 规格: 硅胶提盘夹+防烫泰山夹：粉色</t>
  </si>
  <si>
    <t>提盘夹+防烫夹粉色</t>
  </si>
  <si>
    <t>家用取碗夹防烫夹提盘器厨房工具碗夹盘子蒸菜夹砂锅夹防滑隔热夹 规格: 硅胶提盘夹+防烫泰山夹：绿色</t>
  </si>
  <si>
    <t>提盘夹+防烫夹绿色</t>
  </si>
  <si>
    <t>家用取碗夹防烫夹提盘器厨房工具碗夹盘子蒸菜夹砂锅夹防滑隔热夹 规格: 硅胶提盘夹+防烫泰山夹：米色</t>
  </si>
  <si>
    <t>提盘夹+防烫夹米色</t>
  </si>
  <si>
    <t>阳江市长华工贸有限公司</t>
  </si>
  <si>
    <t>硅胶食物夹一体全包防滑耐高温烧烤夹厨房食品夹户外烤肉夹面包夹 尺寸: 大号带支架食物夹【卡其色】</t>
  </si>
  <si>
    <t>烧烤夹大号米白色</t>
  </si>
  <si>
    <t>硅胶食物夹一体全包防滑耐高温烧烤夹厨房食品夹户外烤肉夹面包夹 尺寸: 大号带支架食物夹【深灰色】</t>
  </si>
  <si>
    <t>烧烤夹大号深灰色</t>
  </si>
  <si>
    <t>硅胶食物夹一体全包防滑耐高温烧烤夹厨房食品夹户外烤肉夹面包夹 尺寸: 大号带支架食物夹【粉色】</t>
  </si>
  <si>
    <t>烧烤夹大号粉色</t>
  </si>
  <si>
    <t>硅胶食物夹一体全包防滑耐高温烧烤夹厨房食品夹户外烤肉夹面包夹 尺寸: 大号带支架食物夹【绿色】</t>
  </si>
  <si>
    <t>烧烤夹大号绿色</t>
  </si>
  <si>
    <t>阳江市阳东区新汇塑金制品厂</t>
  </si>
  <si>
    <t>日本厨房防烫夹子 加厚硅胶烘培耐高温微波炉烤箱隔热手套夹碗器 规格: 橙色隔热夹</t>
  </si>
  <si>
    <r>
      <t>隔热手套</t>
    </r>
    <r>
      <rPr>
        <sz val="11"/>
        <color indexed="8"/>
        <rFont val="Arial"/>
        <family val="2"/>
      </rPr>
      <t>8.5*11CM</t>
    </r>
    <r>
      <rPr>
        <sz val="11"/>
        <color indexed="8"/>
        <rFont val="宋体"/>
        <family val="3"/>
        <charset val="134"/>
      </rPr>
      <t>橙色</t>
    </r>
  </si>
  <si>
    <t>日本厨房防烫夹子 加厚硅胶烘培耐高温微波炉烤箱隔热手套夹碗器 规格: 紫色隔热夹</t>
  </si>
  <si>
    <r>
      <t>隔热手套</t>
    </r>
    <r>
      <rPr>
        <sz val="11"/>
        <color indexed="8"/>
        <rFont val="Arial"/>
        <family val="2"/>
      </rPr>
      <t>8.5*11CM</t>
    </r>
    <r>
      <rPr>
        <sz val="11"/>
        <color indexed="8"/>
        <rFont val="宋体"/>
        <family val="3"/>
        <charset val="134"/>
      </rPr>
      <t>紫色</t>
    </r>
  </si>
  <si>
    <t>日本厨房防烫夹子 加厚硅胶烘培耐高温微波炉烤箱隔热手套夹碗器 规格: 玛卡蓝</t>
  </si>
  <si>
    <r>
      <t>隔热手套</t>
    </r>
    <r>
      <rPr>
        <sz val="11"/>
        <color indexed="8"/>
        <rFont val="Arial"/>
        <family val="2"/>
      </rPr>
      <t>8.5*11CM马卡蓝</t>
    </r>
  </si>
  <si>
    <t>日本厨房防烫夹子 加厚硅胶烘培耐高温微波炉烤箱隔热手套夹碗器 规格: 绿色隔热夹</t>
  </si>
  <si>
    <r>
      <t>隔热手套</t>
    </r>
    <r>
      <rPr>
        <sz val="11"/>
        <color indexed="8"/>
        <rFont val="Arial"/>
        <family val="2"/>
      </rPr>
      <t>8.5*11CM</t>
    </r>
    <r>
      <rPr>
        <sz val="11"/>
        <color indexed="8"/>
        <rFont val="宋体"/>
        <family val="3"/>
        <charset val="134"/>
      </rPr>
      <t>绿色</t>
    </r>
  </si>
  <si>
    <t>日本厨房防烫夹子 加厚硅胶烘培耐高温微波炉烤箱隔热手套夹碗器 规格: 黑色隔热夹</t>
  </si>
  <si>
    <r>
      <t>隔热手套</t>
    </r>
    <r>
      <rPr>
        <sz val="11"/>
        <color indexed="8"/>
        <rFont val="Arial"/>
        <family val="2"/>
      </rPr>
      <t>8.5*11CM</t>
    </r>
    <r>
      <rPr>
        <sz val="11"/>
        <color indexed="8"/>
        <rFont val="宋体"/>
        <family val="3"/>
        <charset val="134"/>
      </rPr>
      <t>黑色</t>
    </r>
  </si>
  <si>
    <t>日本厨房防烫夹子 加厚硅胶烘培耐高温微波炉烤箱隔热手套夹碗器 规格: 黄色隔热夹</t>
  </si>
  <si>
    <r>
      <t>隔热手套</t>
    </r>
    <r>
      <rPr>
        <sz val="11"/>
        <color indexed="8"/>
        <rFont val="Arial"/>
        <family val="2"/>
      </rPr>
      <t>8.5*11CM</t>
    </r>
    <r>
      <rPr>
        <sz val="11"/>
        <color indexed="8"/>
        <rFont val="宋体"/>
        <family val="3"/>
        <charset val="134"/>
      </rPr>
      <t>黄色</t>
    </r>
  </si>
  <si>
    <t>日本厨房防烫夹子 加厚硅胶烘培耐高温微波炉烤箱隔热手套夹碗器 规格: 蓝色隔热夹</t>
  </si>
  <si>
    <r>
      <t>隔热手套</t>
    </r>
    <r>
      <rPr>
        <sz val="11"/>
        <color indexed="8"/>
        <rFont val="Arial"/>
        <family val="2"/>
      </rPr>
      <t>8.5*11CM</t>
    </r>
    <r>
      <rPr>
        <sz val="11"/>
        <color indexed="8"/>
        <rFont val="宋体"/>
        <family val="3"/>
        <charset val="134"/>
      </rPr>
      <t>天蓝色</t>
    </r>
  </si>
  <si>
    <t>日本厨房防烫夹子 加厚硅胶烘培耐高温微波炉烤箱隔热手套夹碗器 规格: 红色隔热夹</t>
  </si>
  <si>
    <r>
      <t>隔热手套</t>
    </r>
    <r>
      <rPr>
        <sz val="11"/>
        <color indexed="8"/>
        <rFont val="Arial"/>
        <family val="2"/>
      </rPr>
      <t>8.5*11CM红色</t>
    </r>
  </si>
  <si>
    <t>日本厨房防烫夹子 加厚硅胶烘培耐高温微波炉烤箱隔热手套夹碗器 规格: 粉色隔热夹</t>
  </si>
  <si>
    <r>
      <t>隔热手套</t>
    </r>
    <r>
      <rPr>
        <sz val="11"/>
        <color indexed="8"/>
        <rFont val="Arial"/>
        <family val="2"/>
      </rPr>
      <t>8.5*11CM</t>
    </r>
    <r>
      <rPr>
        <sz val="11"/>
        <color indexed="8"/>
        <rFont val="宋体"/>
        <family val="3"/>
        <charset val="134"/>
      </rPr>
      <t>粉色</t>
    </r>
  </si>
  <si>
    <t>阳江市听听塑胶制品有限公司</t>
  </si>
  <si>
    <t>硅胶食物夹户外露营烧烤夹 一体全包食品夹 防烫防滑料理夹 现货 规格: 红色</t>
  </si>
  <si>
    <t>烧烤夹29.5CM红色</t>
  </si>
  <si>
    <t>硅胶食物夹户外露营烧烤夹 一体全包食品夹 防烫防滑料理夹 现货 规格: 黑色</t>
  </si>
  <si>
    <r>
      <t>烧烤夹</t>
    </r>
    <r>
      <rPr>
        <sz val="11"/>
        <rFont val="Arial"/>
        <family val="2"/>
      </rPr>
      <t>29.5CM</t>
    </r>
    <r>
      <rPr>
        <sz val="11"/>
        <rFont val="宋体"/>
        <family val="3"/>
        <charset val="134"/>
      </rPr>
      <t>黑色</t>
    </r>
  </si>
  <si>
    <t>硅胶食物夹户外露营烧烤夹 一体全包食品夹 防烫防滑料理夹 现货 规格: 米黄色</t>
  </si>
  <si>
    <r>
      <t>烧烤夹</t>
    </r>
    <r>
      <rPr>
        <sz val="11"/>
        <color indexed="8"/>
        <rFont val="Arial"/>
        <family val="2"/>
      </rPr>
      <t>29.5CM</t>
    </r>
    <r>
      <rPr>
        <sz val="11"/>
        <color indexed="8"/>
        <rFont val="宋体"/>
        <family val="3"/>
        <charset val="134"/>
      </rPr>
      <t>米白色</t>
    </r>
  </si>
  <si>
    <t>硅胶食物夹户外露营烧烤夹 一体全包食品夹 防烫防滑料理夹 现货 规格: 浅灰色</t>
  </si>
  <si>
    <r>
      <t>烧烤夹</t>
    </r>
    <r>
      <rPr>
        <sz val="11"/>
        <color indexed="8"/>
        <rFont val="Arial"/>
        <family val="2"/>
      </rPr>
      <t>29.5CM灰色</t>
    </r>
  </si>
  <si>
    <t>硅胶食物夹户外露营烧烤夹 一体全包食品夹 防烫防滑料理夹 现货 规格: 绿色</t>
  </si>
  <si>
    <r>
      <t>烧烤夹</t>
    </r>
    <r>
      <rPr>
        <sz val="11"/>
        <color indexed="8"/>
        <rFont val="Arial"/>
        <family val="2"/>
      </rPr>
      <t>29.5CM浅蓝色</t>
    </r>
  </si>
  <si>
    <t>硅胶食物夹户外露营烧烤夹 一体全包食品夹 防烫防滑料理夹 现货 规格:</t>
  </si>
  <si>
    <t>烧烤夹套装2pc黑色</t>
  </si>
  <si>
    <t>烧烤夹套装黑色+红色</t>
  </si>
  <si>
    <t>烧烤夹套装黑色+灰色</t>
  </si>
  <si>
    <t>烧烤夹套装白色+绿色</t>
  </si>
  <si>
    <t>0059</t>
  </si>
  <si>
    <t>烧烤夹套装黑色+白色</t>
  </si>
  <si>
    <t>烧烤夹套装黑色+蓝色</t>
  </si>
  <si>
    <t>烧烤夹套装5pcs 黑色+红色+灰色+白色+蓝色</t>
  </si>
  <si>
    <t>揭阳市榕城区品通五金制品厂</t>
  </si>
  <si>
    <t>304不锈钢速冻冰块冰粒盒装套装可循环用金属冰镇球冰威士忌啤酒 规格尺寸: 【冰夹子】（带硅胶头）</t>
  </si>
  <si>
    <t>304不锈钢冰块夹带头</t>
  </si>
  <si>
    <t>揭阳市培嘉乐五金实业有限公司</t>
  </si>
  <si>
    <t>304不锈钢冰块速冻冰粒金属冰粒夹创意威士忌不锈钢酒石可印logo 规格尺寸: 不锈钢冰夹</t>
  </si>
  <si>
    <t>304不锈钢冰块夹</t>
  </si>
  <si>
    <t>好婺日用品有限公司</t>
  </si>
  <si>
    <t>家用防烫锅柄隔热套把手防烫保护套铁锅铁铲耐高温橡胶套门把手套 规格: 大号 灰色透明袋装</t>
  </si>
  <si>
    <t>防烫锅柄隔热套把手灰色</t>
  </si>
  <si>
    <t>雷阳</t>
  </si>
  <si>
    <t>雷阳T铲套装4pcs粉+黄+绿+紫</t>
  </si>
  <si>
    <t>03</t>
  </si>
  <si>
    <t>雷阳T铲套装4pcs绿色</t>
  </si>
  <si>
    <t>雷阳T铲套装4pcs粉色</t>
  </si>
  <si>
    <t>雷阳T铲套装4pcs紫色</t>
  </si>
  <si>
    <t>雷阳T铲套装4pcs黄色</t>
  </si>
  <si>
    <t>阳江市嘉鸿工贸有限公司</t>
  </si>
  <si>
    <t>厂家现货一体半透硅胶刮刀 烘焙刮刀蛋糕抹刀 奶油刮拌刀烘焙工具 规格: 小号半透刮刀(蓝色）</t>
  </si>
  <si>
    <t>小号半透硅胶刮刀蓝色</t>
  </si>
  <si>
    <t>阳江乐丰工贸有限公司</t>
  </si>
  <si>
    <t>厂家现货一体半透硅胶刮刀 烘焙刮刀蛋糕抹刀 奶油刮拌刀烘焙工具 规格: 小号半透刮刀(绿色）</t>
  </si>
  <si>
    <t>小号半透硅胶刮刀绿色</t>
  </si>
  <si>
    <t>厂家现货一体半透硅胶刮刀 烘焙刮刀蛋糕抹刀 奶油刮拌刀烘焙工具 规格: 小号半透刮刀(橙色）</t>
  </si>
  <si>
    <t>小号半透硅胶刮刀粉色</t>
  </si>
  <si>
    <t>阳江市江城区华汇日用品厂</t>
  </si>
  <si>
    <t>雷阳抹刀长头款32.5CM粉色</t>
  </si>
  <si>
    <t>雷阳抹刀长头款32.5CM紫色</t>
  </si>
  <si>
    <t>雷阳抹刀长头款32.5CM黄色</t>
  </si>
  <si>
    <t>雷阳抹刀长头款32.5CM玫红色</t>
  </si>
  <si>
    <t>雷阳抹刀长头款32.5CM 四件 玫红色 4pcs</t>
  </si>
  <si>
    <t>T4-CJ</t>
  </si>
  <si>
    <t>CJ030009,CJ030010,
CJ030011,CJ030012</t>
  </si>
  <si>
    <t>已录入ERP</t>
  </si>
  <si>
    <t>一体式硅胶刮刀烘培蛋糕奶油硅胶抹刀家用沙拉果酱搅拌刀 规格: 短头款半透红色</t>
  </si>
  <si>
    <t>抹刀短头款32.5CM半透红色</t>
  </si>
  <si>
    <t>阳江市振朗硅胶制品有限公司</t>
  </si>
  <si>
    <t>硅胶刮刀小号半透明一体式硅胶刮刀奶油刮刀蛋糕抹刀烘焙工具现货 规格: 红色</t>
  </si>
  <si>
    <t>抹刀小号21CM半透明红色</t>
  </si>
  <si>
    <t>货号重复</t>
  </si>
  <si>
    <t>阳江市阳东区钜盛工贸有限公司</t>
  </si>
  <si>
    <t>轩隽大小号一体硅胶长抹刀马卡龙色奶油抹平刀长刮刀食品级易洗 规格: 小号蓝色（32克封口袋子）</t>
  </si>
  <si>
    <t>抹刀20.7CM蓝色</t>
  </si>
  <si>
    <t>阳江市江城区锦知塑料制品厂</t>
  </si>
  <si>
    <t>厨房大号硅胶刮刀软边 搅拌抹刀奶油牛油耐高温加厚蛋糕烘培工具 [快照]
规格: 款式二（宽面）  颜色: 粉红色</t>
  </si>
  <si>
    <t>大短刮刀34CM粉色</t>
  </si>
  <si>
    <t>厨房大号硅胶刮刀软边 搅拌抹刀奶油牛油耐高温加厚蛋糕烘培工具 [快照]
规格: 款式二（宽面）  颜色: 紫色</t>
  </si>
  <si>
    <t>大短刮刀34CM紫色</t>
  </si>
  <si>
    <t>厨房大号硅胶刮刀软边 搅拌抹刀奶油牛油耐高温加厚蛋糕烘培工具 [快照]
规格: 款式二（宽面）  颜色: 黄色</t>
  </si>
  <si>
    <t>大短刮刀34CM黄色</t>
  </si>
  <si>
    <t>厨房大号硅胶刮刀软边 搅拌抹刀奶油牛油耐高温加厚蛋糕烘培工具 [快照]
规格: 款式二（宽面）  颜色: 玫红色</t>
  </si>
  <si>
    <t>大短刮刀34CM玫红色</t>
  </si>
  <si>
    <t>大短刮刀34CM  4pcs</t>
  </si>
  <si>
    <t>大短刮刀34CM玫红色  4pcs</t>
  </si>
  <si>
    <t>T4-CJ030019</t>
  </si>
  <si>
    <t>CJ030019</t>
  </si>
  <si>
    <r>
      <t>雷阳抹刀</t>
    </r>
    <r>
      <rPr>
        <sz val="11"/>
        <color indexed="8"/>
        <rFont val="Arial"/>
        <family val="2"/>
      </rPr>
      <t>24CM橙色</t>
    </r>
  </si>
  <si>
    <r>
      <t>雷阳抹刀</t>
    </r>
    <r>
      <rPr>
        <sz val="11"/>
        <color indexed="8"/>
        <rFont val="Arial"/>
        <family val="2"/>
      </rPr>
      <t>24CM黑色</t>
    </r>
  </si>
  <si>
    <r>
      <t>雷阳抹刀</t>
    </r>
    <r>
      <rPr>
        <sz val="11"/>
        <color indexed="8"/>
        <rFont val="Arial"/>
        <family val="2"/>
      </rPr>
      <t>24CM绿色</t>
    </r>
  </si>
  <si>
    <r>
      <t>雷阳抹刀</t>
    </r>
    <r>
      <rPr>
        <sz val="11"/>
        <color indexed="8"/>
        <rFont val="Arial"/>
        <family val="2"/>
      </rPr>
      <t>24CM黄色</t>
    </r>
  </si>
  <si>
    <r>
      <t>雷阳抹刀</t>
    </r>
    <r>
      <rPr>
        <sz val="11"/>
        <color indexed="8"/>
        <rFont val="Arial"/>
        <family val="2"/>
      </rPr>
      <t>24CM蓝色</t>
    </r>
  </si>
  <si>
    <r>
      <t>雷阳抹刀</t>
    </r>
    <r>
      <rPr>
        <sz val="11"/>
        <color indexed="8"/>
        <rFont val="Arial"/>
        <family val="2"/>
      </rPr>
      <t>24CM红色</t>
    </r>
  </si>
  <si>
    <t>雷阳T铲北欧黄</t>
  </si>
  <si>
    <t>雷阳T铲北欧紫</t>
  </si>
  <si>
    <t>雷阳T铲北欧绿</t>
  </si>
  <si>
    <t>雷阳T铲北欧粉</t>
  </si>
  <si>
    <t>东莞市中创模具有限公司</t>
  </si>
  <si>
    <t>跨境正方形空气炸锅Air fryer silicone pot 食品级炸锅硅胶垫硅 规格: 灰色</t>
  </si>
  <si>
    <t>空气炸锅垫灰色</t>
  </si>
  <si>
    <t>04</t>
  </si>
  <si>
    <t xml:space="preserve">跨境正方形空气炸锅Air fryer silicone pot 食品级炸锅硅胶垫硅 </t>
  </si>
  <si>
    <t>空气炸锅垫灰色+防烫夹1对</t>
  </si>
  <si>
    <t>新款空气炸锅垫硅胶烤盘托盘多功能硅胶烧烤垫耐高温可重复使用 规格: 大号（20cm)(3-5L炸锅用 颜色: 浅紫色</t>
  </si>
  <si>
    <t>空气炸锅垫小号20cm浅紫色</t>
  </si>
  <si>
    <t>新款空气炸锅垫硅胶烤盘托盘多功能硅胶烧烤垫耐高温可重复使用 规格: 加大号（23cm)（5-7L炸锅用 颜色: 浅紫色</t>
  </si>
  <si>
    <t>空气炸锅垫大号23cm浅紫色</t>
  </si>
  <si>
    <t>新款空气炸锅垫硅胶烤盘托盘多功能硅胶烧烤垫耐高温可重复使用 规格: 大号（20cm)(3-5L炸锅用 颜色: 墨绿色</t>
  </si>
  <si>
    <t>空气炸锅垫小号20cm墨绿色</t>
  </si>
  <si>
    <t xml:space="preserve">
新款空气炸锅垫硅胶烤盘托盘多功能硅胶烧烤垫耐高温可重复使用 </t>
  </si>
  <si>
    <t>空气炸锅垫大号23cm墨绿色</t>
  </si>
  <si>
    <t>新款空气炸锅垫硅胶烤盘托盘多功能硅胶烧烤垫耐高温可重复使用 规格: 加大号（23cm)（5-7L炸锅用 颜色: 清新绿</t>
  </si>
  <si>
    <t>空气炸锅垫大号23cm清新绿</t>
  </si>
  <si>
    <t>新款空气炸锅垫硅胶烤盘托盘多功能硅胶烧烤垫耐高温可重复使用 规格: 大号（20cm)(3-5L炸锅用 颜色: 清新绿</t>
  </si>
  <si>
    <t>空气炸锅垫小号20cm清新绿</t>
  </si>
  <si>
    <t>新款空气炸锅垫硅胶烤盘托盘多功能硅胶烧烤垫耐高温可重复使用 [快照]</t>
  </si>
  <si>
    <t>空气炸锅垫大号23cm红色</t>
  </si>
  <si>
    <t>空气炸锅垫小号20cm红色</t>
  </si>
  <si>
    <t>空气炸锅垫大号23cm米色</t>
  </si>
  <si>
    <t>空气炸锅垫小号20cm米色</t>
  </si>
  <si>
    <t>硅胶烤盘托盘大号 5pcs 红色+清新绿+米白色+墨绿色+浅紫色</t>
  </si>
  <si>
    <t>T5-CJ</t>
  </si>
  <si>
    <t xml:space="preserve">CJ040003
CJ040018
CJ040005
CJ040014
CJ040016
</t>
  </si>
  <si>
    <t>阳江市江城区乐纯家居用品有限公司</t>
  </si>
  <si>
    <t>工厂现货新款空气炸锅垫硅胶空气炸锅烤盘烤箱硅胶蛋糕模烘焙用具 规格: 花边烤盘（pp袋） 颜色: 艾绿</t>
  </si>
  <si>
    <t>空气炸锅垫双耳花边蓝色</t>
  </si>
  <si>
    <t>工厂现货新款空气炸锅垫硅胶空气炸锅烤盘烤箱硅胶蛋糕模烘焙用具 规格: 花边烤盘（pp袋） 颜色: 灰色</t>
  </si>
  <si>
    <t>空气炸锅垫双耳花边灰色</t>
  </si>
  <si>
    <t>工厂现货新款空气炸锅垫硅胶空气炸锅烤盘烤箱硅胶蛋糕模烘焙用具 规格: 花边烤盘（pp袋） 颜色: 浅粉</t>
  </si>
  <si>
    <t>空气炸锅垫双耳花边粉色</t>
  </si>
  <si>
    <t>工厂现货新款空气炸锅垫硅胶空气炸锅烤盘烤箱硅胶蛋糕模烘焙用具 规格: 花边烤盘（pp袋） 颜色: 浅粉  2pcs</t>
  </si>
  <si>
    <t>空气炸锅垫双耳花边粉色  2pcs</t>
  </si>
  <si>
    <t>T2-CJ</t>
  </si>
  <si>
    <t>东莞市猴狮马电子科技有限公司</t>
  </si>
  <si>
    <t>跨境爆款空气炸锅硅胶烤盘耐高温可折叠易清洗圆形烘培硅胶烤盘垫 规格: 方形立体红色 21*16*5cm 55g</t>
  </si>
  <si>
    <t>空气炸锅垫方形21*16*5cm 55g红色</t>
  </si>
  <si>
    <t>跨境爆款空气炸锅硅胶烤盘耐高温可折叠易清洗圆形烘培硅胶烤盘垫 规格: 方形立体浅蓝色 21*16*5cm 55g</t>
  </si>
  <si>
    <t>空气炸锅垫方形21*16*5cm 55g蓝色</t>
  </si>
  <si>
    <t>东莞市优先电子科技有限公司</t>
  </si>
  <si>
    <t>跨境爆款 空气炸锅 硅胶烤盘 圆形 烘焙烤盘家用空气炸锅硅胶垫子 规格: 圆形立体棕色24*19*6cm 110g</t>
  </si>
  <si>
    <t>空气炸锅垫圆形24*19*6cm棕色</t>
  </si>
  <si>
    <t>中山市方圆硅橡胶制品有限公司</t>
  </si>
  <si>
    <t>新款加厚加大空气炸锅硅胶烤蛋杯蒸蛋杯蒸蛋碗玛芬杯Egg  Ramekin 颜色: 黑色（3个装）</t>
  </si>
  <si>
    <t>空气炸锅盘9CM带耳3个装黑色</t>
  </si>
  <si>
    <t>阳江市启凡工贸有限公司</t>
  </si>
  <si>
    <t>亚马逊热销硅胶沥水垫隔热垫厨房餐垫杯子餐具晾干斜纹滤水垫现货 颜色: 小号米白色</t>
  </si>
  <si>
    <t>斜纹沥水垫小号米白色</t>
  </si>
  <si>
    <t>05</t>
  </si>
  <si>
    <t>亚马逊热销硅胶沥水垫隔热垫厨房餐垫杯子餐具晾干斜纹滤水垫现货 颜色: 中号米白色</t>
  </si>
  <si>
    <t>斜纹沥水垫中号米白色</t>
  </si>
  <si>
    <t>亚马逊热销硅胶沥水垫隔热垫厨房餐垫杯子餐具晾干斜纹滤水垫现货 颜色: 中号灰色</t>
  </si>
  <si>
    <t>斜纹沥水垫中号灰色</t>
  </si>
  <si>
    <t>亚马逊热销硅胶沥水垫隔热垫厨房餐垫杯子餐具晾干斜纹滤水垫现货 颜色: 小号灰色</t>
  </si>
  <si>
    <t>斜纹沥水垫小号灰色</t>
  </si>
  <si>
    <t>亚马逊热销硅胶沥水垫隔热垫厨房餐垫杯子餐具晾干斜纹滤水垫现货 颜色: 大号灰色</t>
  </si>
  <si>
    <t>斜纹沥水垫大号灰色</t>
  </si>
  <si>
    <t>东莞市婷峰硅胶有限公司</t>
  </si>
  <si>
    <t>跨境热销防水水槽下垫34x22橱柜内衬保护垫硅胶沥水厨房碗碟托盘 颜色: 灰色 规格: 864mm*558mm（34 x 22 英寸）</t>
  </si>
  <si>
    <t>水槽下垫灰色 规格: 864*558（34 x 22 英寸）</t>
  </si>
  <si>
    <t>跨境热销防水水槽下垫34x22橱柜内衬保护垫硅胶沥水厨房碗碟托盘 颜色: 黑色 规格: 864mm*558mm（34 x 22 英寸）</t>
  </si>
  <si>
    <t>水槽下垫黑色 规格: 864*558（34 x 22 英寸）</t>
  </si>
  <si>
    <t>宁波渡渡鸟工贸有限公司</t>
  </si>
  <si>
    <t>碗碟沥水垫隔热垫可裁剪厨房洗手台面沥水碗碟水池灶台控水硅胶垫 颜色: 米白色</t>
  </si>
  <si>
    <r>
      <t>沥水垫</t>
    </r>
    <r>
      <rPr>
        <sz val="11"/>
        <rFont val="Arial"/>
        <family val="2"/>
      </rPr>
      <t>39*25CM</t>
    </r>
    <r>
      <rPr>
        <sz val="11"/>
        <rFont val="宋体"/>
        <family val="3"/>
        <charset val="134"/>
      </rPr>
      <t>米白色</t>
    </r>
  </si>
  <si>
    <t>硅胶厨房沥水碗架蔬果水槽滤水垫子置物干燥收纳垫隔热餐垫锅盘垫 层数（规格）: 圆点加圆弧垫（30*25cm）</t>
  </si>
  <si>
    <t>沥水垫圆点加圆弧30*25CM灰色</t>
  </si>
  <si>
    <t>硅胶厨房沥水碗架蔬果水槽滤水垫子置物干燥收纳垫隔热餐垫锅盘垫 层数（规格）: 波浪小垫（29.5*22.5cm）</t>
  </si>
  <si>
    <t>沥水垫条纹波浪29.5*22.5CM灰色</t>
  </si>
  <si>
    <t>硅胶厨房沥水碗架蔬果水槽滤水垫子置物干燥收纳垫隔热餐垫锅盘垫</t>
  </si>
  <si>
    <t>沥水垫条纹+圆点灰色2PCS</t>
  </si>
  <si>
    <t>碗碟沥水垫隔热垫可裁剪厨房洗手台面沥水碗碟水池灶台控水硅胶垫 颜色: 灰色</t>
  </si>
  <si>
    <t>沥水垫带淋浴排水口39*25CM灰色</t>
  </si>
  <si>
    <t>深圳享动信息技术有限公司</t>
  </si>
  <si>
    <t>跨境新品硅胶咖啡机垫 隔热垫防滑垫台面沥水垫 厨房餐桌垫隔热垫 颜色: 深灰色</t>
  </si>
  <si>
    <r>
      <t>咖啡机垫</t>
    </r>
    <r>
      <rPr>
        <sz val="11"/>
        <rFont val="Arial"/>
        <family val="2"/>
      </rPr>
      <t>51*71CM</t>
    </r>
    <r>
      <rPr>
        <sz val="11"/>
        <rFont val="宋体"/>
        <family val="3"/>
        <charset val="134"/>
      </rPr>
      <t>深灰色</t>
    </r>
  </si>
  <si>
    <t>跨境新品硅胶咖啡机垫 隔热垫防滑垫台面沥水垫 厨房餐桌垫隔热垫 颜色: 黑色</t>
  </si>
  <si>
    <r>
      <t>咖啡机垫</t>
    </r>
    <r>
      <rPr>
        <sz val="11"/>
        <rFont val="Arial"/>
        <family val="2"/>
      </rPr>
      <t>51*71CM</t>
    </r>
    <r>
      <rPr>
        <sz val="11"/>
        <rFont val="宋体"/>
        <family val="3"/>
        <charset val="134"/>
      </rPr>
      <t>黑色</t>
    </r>
  </si>
  <si>
    <t>东莞市思恩塑胶五金制品有限公司</t>
  </si>
  <si>
    <t>隔热防烫垫厨房锅垫咖啡机垫工具垫三折叠便携耐高温沥水垫 颜色: 灰色</t>
  </si>
  <si>
    <t>沥水垫三折叠灰色</t>
  </si>
  <si>
    <t>隔热防烫垫厨房锅垫咖啡机垫工具垫三折叠便携耐高温沥水垫 颜色: 黑色</t>
  </si>
  <si>
    <t>沥水垫三折叠黑色</t>
  </si>
  <si>
    <t>山东泰美日用品有限公司</t>
  </si>
  <si>
    <t>通用硅胶咖啡垫厨房咖啡双层沥水垫多功能分离式托盘咖啡机保护垫 【货品快照】
颜色:黑色;  规格:60*40*1cm</t>
  </si>
  <si>
    <t>二合一咖啡机垫60*40*1CM黑色</t>
  </si>
  <si>
    <t>咖啡机垫 大尺寸通用保护垫子 硅胶防滑防震多功能餐桌隔热沥水垫 颜色: 灰色 规格: 60*40*1</t>
  </si>
  <si>
    <t>二合一咖啡机垫60*40*1CM灰色</t>
  </si>
  <si>
    <t>宁波市海曙华宇工贸有限公司</t>
  </si>
  <si>
    <t>亚马逊爆款长条托盘便携式浴室香皂海绵垫浴室餐桌厨房收纳垫 [快照]
颜色: 灰色</t>
  </si>
  <si>
    <t>长条托盘灰色</t>
  </si>
  <si>
    <t>亚马逊爆款长条托盘便携式浴室香皂海绵垫浴室餐桌厨房收纳垫 [快照]
颜色: 黑色</t>
  </si>
  <si>
    <t>长条托盘黑色</t>
  </si>
  <si>
    <t>广州市尼森硅胶制品有限公司</t>
  </si>
  <si>
    <t>沥水垫60*40*1CM灰色</t>
  </si>
  <si>
    <t>永康市东城贝利特家居用品厂</t>
  </si>
  <si>
    <t>水龙头沥水垫台面洗手台窄边水池吸水防溅水垫子卫生间硅胶沥水垫 [快照]
规格: 35*14.5米白</t>
  </si>
  <si>
    <t>长方形沥水垫35*14.5米白</t>
  </si>
  <si>
    <t>水龙头沥水垫台面洗手台窄边水池吸水防溅水垫子卫生间硅胶沥水垫 [快照]
规格: 45*14.5米白</t>
  </si>
  <si>
    <t>长方形沥水垫45*14.5米白</t>
  </si>
  <si>
    <t>水龙头沥水垫台面洗手台窄边水池吸水防溅水垫子卫生间硅胶沥水垫 [快照]
规格: 62*14.5米白</t>
  </si>
  <si>
    <t>长方形沥水垫62*14.5米白</t>
  </si>
  <si>
    <t>水龙头沥水垫台面洗手台窄边水池吸水防溅水垫子卫生间硅胶沥水垫 [快照]
规格: 35*14.5墨绿</t>
  </si>
  <si>
    <t>长方形沥水垫35*14.5墨绿</t>
  </si>
  <si>
    <t>水龙头沥水垫台面洗手台窄边水池吸水防溅水垫子卫生间硅胶沥水垫 [快照]
规格: 45*14.5墨绿</t>
  </si>
  <si>
    <t>长方形沥水垫45*14.5墨绿</t>
  </si>
  <si>
    <t>水龙头沥水垫台面洗手台窄边水池吸水防溅水垫子卫生间硅胶沥水垫 [快照]
规格: 62*14.5墨绿</t>
  </si>
  <si>
    <t>长方形沥水垫62*14.5墨绿</t>
  </si>
  <si>
    <t>水龙头沥水垫台面洗手台窄边水池吸水防溅水垫子卫生间硅胶沥水垫 [快照]
规格: 35*14.5灰色</t>
  </si>
  <si>
    <t>长方形沥水垫35*14.5灰色</t>
  </si>
  <si>
    <t>水龙头沥水垫台面洗手台窄边水池吸水防溅水垫子卫生间硅胶沥水垫 [快照]
规格: 45*14.5灰色</t>
  </si>
  <si>
    <t>长方形沥水垫45*14.5灰色</t>
  </si>
  <si>
    <t>水龙头沥水垫台面洗手台窄边水池吸水防溅水垫子卫生间硅胶沥水垫 [快照]
规格: 62*14.5灰色</t>
  </si>
  <si>
    <t>长方形沥水垫62*14.5灰色</t>
  </si>
  <si>
    <t>阳江市阳东区振阳五金制品厂</t>
  </si>
  <si>
    <t>跨境热销便携折叠餐板两用切菜板洗菜盆多功能折叠菜板沥水三合一 颜色: 三合一折叠菜板沥水篮（白色）</t>
  </si>
  <si>
    <t>三合一折叠菜板沥水篮白色</t>
  </si>
  <si>
    <t>06</t>
  </si>
  <si>
    <t>跨境热销便携折叠餐板两用切菜板洗菜盆多功能折叠菜板沥水三合一 颜色: 三合一折叠菜板沥水篮（绿色）</t>
  </si>
  <si>
    <t>三合一折叠菜板沥水篮绿色</t>
  </si>
  <si>
    <t>义乌市秀米日用品有限公司</t>
  </si>
  <si>
    <t>一体玻璃瓶油刷油瓶 家用硅胶刷烧烤刷烙饼食品级刷可调节油刷子 规格: 白色 颜色: 盒装约150ML</t>
  </si>
  <si>
    <t>烧烤油刷油瓶白色</t>
  </si>
  <si>
    <t>东莞市萌创硅橡胶制品有限公司</t>
  </si>
  <si>
    <t>新款跨境硅胶折叠菜板家居日用硅胶菜板户外旅游方便携带硅胶菜板 规格: 橙色--条纹款</t>
  </si>
  <si>
    <t>切菜板条纹款24CM橙色</t>
  </si>
  <si>
    <t>新款跨境硅胶折叠菜板家居日用硅胶菜板户外旅游方便携带硅胶菜板 规格: 蓝色--条纹款</t>
  </si>
  <si>
    <t>切菜板条纹款24CM蓝色</t>
  </si>
  <si>
    <t>新款跨境硅胶折叠菜板家居日用硅胶菜板户外旅游方便携带硅胶菜板 规格: 灰色--条纹款</t>
  </si>
  <si>
    <t>切菜板条纹款24CM灰色</t>
  </si>
  <si>
    <t>徐州鼎鸿玻璃科技有限公司</t>
  </si>
  <si>
    <t>喷油壶喷油瓶厨房家用喷倒两用一体玻璃油壶雾化油瓶油喷壶不挂油 容量: 新款470m绿色</t>
  </si>
  <si>
    <t>油壶470ML绿色</t>
  </si>
  <si>
    <t>喷油壶喷油瓶厨房家用喷倒两用一体玻璃油壶雾化油瓶油喷壶不挂油 容量: 新款470m米白色</t>
  </si>
  <si>
    <t>油壶470ML米白色</t>
  </si>
  <si>
    <t>喷油壶喷油瓶厨房家用喷倒两用一体玻璃油壶雾化油瓶油喷壶不挂油 容量: 新款470m黑色</t>
  </si>
  <si>
    <t>油壶470ML黑色</t>
  </si>
  <si>
    <t>阳江市江城区星厨汇五金制品厂</t>
  </si>
  <si>
    <t>厨用烘焙硅胶擀面杖套装中号揉面擀面棍烘焙套装擀面棍揉面垫套装 规格: 【薄荷绿】擀面杖套装</t>
  </si>
  <si>
    <t>薄荷绿擀面杖套装（袋装）</t>
  </si>
  <si>
    <t>07</t>
  </si>
  <si>
    <t>永康市通涛硅胶制品厂</t>
  </si>
  <si>
    <t>厂家定制硅胶揉面垫食品级加厚不粘面垫擀面杖擀面垫子家用和面垫 规格: 50*70</t>
  </si>
  <si>
    <t>京喜揉面垫卡通50*70</t>
  </si>
  <si>
    <t>厂家定制硅胶揉面垫食品级加厚不粘面垫擀面杖擀面垫子家用和面垫 规格: 40*50</t>
  </si>
  <si>
    <r>
      <t>京喜揉面垫卡通</t>
    </r>
    <r>
      <rPr>
        <sz val="11"/>
        <color indexed="8"/>
        <rFont val="Arial"/>
        <family val="2"/>
      </rPr>
      <t>40*50</t>
    </r>
    <r>
      <rPr>
        <sz val="11"/>
        <color indexed="8"/>
        <rFont val="宋体"/>
        <family val="3"/>
        <charset val="134"/>
      </rPr>
      <t>带防水边</t>
    </r>
  </si>
  <si>
    <t>厂家定制硅胶揉面垫食品级加厚不粘面垫擀面杖擀面垫子家用和面垫 规格: 60*80</t>
  </si>
  <si>
    <r>
      <t>京喜揉面垫卡通6</t>
    </r>
    <r>
      <rPr>
        <sz val="11"/>
        <color indexed="8"/>
        <rFont val="Arial"/>
        <family val="2"/>
      </rPr>
      <t>0*80</t>
    </r>
    <r>
      <rPr>
        <sz val="11"/>
        <color indexed="8"/>
        <rFont val="宋体"/>
        <family val="3"/>
        <charset val="134"/>
      </rPr>
      <t>带防水边</t>
    </r>
  </si>
  <si>
    <r>
      <t>京喜揉面垫卡通</t>
    </r>
    <r>
      <rPr>
        <sz val="11"/>
        <color indexed="8"/>
        <rFont val="Arial"/>
        <family val="2"/>
      </rPr>
      <t>50*70</t>
    </r>
    <r>
      <rPr>
        <sz val="11"/>
        <color indexed="8"/>
        <rFont val="宋体"/>
        <family val="3"/>
        <charset val="134"/>
      </rPr>
      <t>带防水边</t>
    </r>
  </si>
  <si>
    <t>义乌市唱身电子商务商行（个体工商户）</t>
  </si>
  <si>
    <t>厨房实木擀面杖不粘木制压面棍烘焙工具 包饺子皮擀面棍擀面棒 规格: 28cm左右 颜色: 原木</t>
  </si>
  <si>
    <t>擀面杖28cm原木色</t>
  </si>
  <si>
    <t>永康市宁怡工贸有限公司</t>
  </si>
  <si>
    <t>厂家定制硅胶揉面垫食品级加厚不粘面垫擀面杖擀面垫子家用和面垫 规格:40*50防水边小熊款 颜色: 象牙白</t>
  </si>
  <si>
    <t>揉面垫小熊40*50带防水边</t>
  </si>
  <si>
    <t>谷米(深圳)实业科技有限公司</t>
  </si>
  <si>
    <t>大号无蛋阳具透明果冻水晶仿真中小号穿戴成人女用自慰棒 假阴茎 规格: 6号透明色</t>
  </si>
  <si>
    <t>大号无蛋阳具6号透明色</t>
  </si>
  <si>
    <t>CR</t>
  </si>
  <si>
    <t>大号无蛋阳具透明果冻水晶仿真中小号穿戴成人女用自慰棒 假阴茎 规格: 7号透明色</t>
  </si>
  <si>
    <t>大号无蛋阳具7号透明色</t>
  </si>
  <si>
    <t>假阴茎中小号6号透明色</t>
  </si>
  <si>
    <t>大号无蛋阳具透明果冻水晶仿真中小号穿戴成人女用自慰棒 假阴茎 规格: 5号透明色</t>
  </si>
  <si>
    <t>假阴茎中小号5号透明色</t>
  </si>
  <si>
    <t>假阴茎中小号7号透明色</t>
  </si>
  <si>
    <t>女用仿真阳具吸盘罗马大帝 彩色水晶自慰器透明假阳具成人性用品 规格: 肉色【中号】</t>
  </si>
  <si>
    <t>彩色水晶自慰器中号肉色</t>
  </si>
  <si>
    <t>女用仿真阳具吸盘罗马大帝 彩色水晶自慰器透明假阳具成人性用品 规格: 粉色【中号】</t>
  </si>
  <si>
    <t>彩色水晶自慰器中号粉色</t>
  </si>
  <si>
    <t>女用仿真阳具吸盘罗马大帝 彩色水晶自慰器透明假阳具成人性用品 规格: 紫色【中号】</t>
  </si>
  <si>
    <t>彩色水晶自慰器中号紫色</t>
  </si>
  <si>
    <t>外贸热销水晶套毛毛虫手指套六款组合套装 调情皮套 男性情趣用品 规格: 透黑6件套(盒装)</t>
  </si>
  <si>
    <t>毛毛虫手指套透黑色6件套</t>
  </si>
  <si>
    <t>外贸热销水晶套毛毛虫手指套六款组合套装 调情皮套 男性情趣用品 规格: 透蓝色6件套(盒装)</t>
  </si>
  <si>
    <t>毛毛虫手指套透蓝色6件套</t>
  </si>
  <si>
    <t>外贸热销水晶套毛毛虫手指套六款组合套装 调情皮套 男性情趣用品 规格: 透明6件套(盒装)</t>
  </si>
  <si>
    <t>毛毛虫手指套透明色6件套</t>
  </si>
  <si>
    <t>东莞市夜潮玩具有限公司</t>
  </si>
  <si>
    <t>手动仿真阳具水晶透明假阴茎女用情趣TPE材质跨境热销吸盘自慰器 规格: S透明</t>
  </si>
  <si>
    <t>吸盘假阴茎S透明</t>
  </si>
  <si>
    <t>手动仿真阳具水晶透明假阴茎女用情趣TPE材质跨境热销吸盘自慰器 规格: L透明</t>
  </si>
  <si>
    <t>吸盘假阴茎L透明</t>
  </si>
  <si>
    <t>手动仿真阳具水晶透明假阴茎女用情趣TPE材质跨境热销吸盘自慰器 规格: M透明</t>
  </si>
  <si>
    <t>吸盘假阴茎M透明</t>
  </si>
  <si>
    <t>手动仿真阳具水晶透明假阴茎女用情趣TPE材质跨境热销吸盘自慰器 规格: XL透明</t>
  </si>
  <si>
    <t>吸盘假阴茎XL透明</t>
  </si>
  <si>
    <t>宁波市奉化凯诺成人用品厂</t>
  </si>
  <si>
    <t>厂家批发男用自慰器阴臀倒模软硅胶名器飞机杯成人性保健情趣品 规格: 丰乳小妹-345克</t>
  </si>
  <si>
    <t>自慰器丰乳小妹</t>
  </si>
  <si>
    <t>实体软胶小名气飞机杯男用阴臀倒模自慰器男性成人情趣用品批发 规格: 蜜桃3D动感-180克</t>
  </si>
  <si>
    <t>自慰器蜜桃3D动感</t>
  </si>
  <si>
    <t>法娜拉男用自慰器 阴臀倒模名器飞机杯男性成人情趣用品批发 规格: 性感女上司510克</t>
  </si>
  <si>
    <t>自慰器性感女上司</t>
  </si>
  <si>
    <t>法娜拉厂家外贸仿真阳具震动棒女用自慰器成人情趣性用品批发 规格: 手动棕色中号</t>
  </si>
  <si>
    <t>阳具震动棒手动棕色中号</t>
  </si>
  <si>
    <t>法娜拉厂家外贸仿真阳具震动棒女用自慰器成人情趣性用品批发 规格: 手动黑色大号</t>
  </si>
  <si>
    <t>阳具震动棒手动黑色大号</t>
  </si>
  <si>
    <t>现货批发电动仿真阳具女用按摩震动棒摇摆自慰器成人情趣性用品 规格: 摇摆王小号</t>
  </si>
  <si>
    <t>阳具震动棒手动摇摆王小号</t>
  </si>
  <si>
    <t>现货批发电动仿真阳具女用按摩震动棒摇摆自慰器成人情趣性用品 规格: 手动咖啡色大号</t>
  </si>
  <si>
    <t>阳具震动棒手动咖啡色大号</t>
  </si>
  <si>
    <t>现货批发电动仿真阳具女用按摩震动棒摇摆自慰器成人情趣性用品 规格: 筋爆战士-有线摇摆伸缩中号</t>
  </si>
  <si>
    <t>阳具震动棒筋爆战士有线摇摆伸缩中号</t>
  </si>
  <si>
    <t>现货批发电动仿真阳具女用按摩震动棒摇摆自慰器成人情趣性用品 规格: 摇摆王大号</t>
  </si>
  <si>
    <t>阳具震动棒摆王大号</t>
  </si>
  <si>
    <t>现货批发电动仿真阳具女用按摩震动棒摇摆自慰器成人情趣性用品 规格: 手动肉色小号</t>
  </si>
  <si>
    <t>阳具震动棒手动肉色小号</t>
  </si>
  <si>
    <t>现货批发电动仿真阳具女用按摩震动棒摇摆自慰器成人情趣性用品 规格: 筋爆战士-无线摇摆伸缩大号</t>
  </si>
  <si>
    <t>阳具震动棒筋爆战士无线摇摆伸缩大号</t>
  </si>
  <si>
    <t>现货批发电动仿真阳具女用按摩震动棒摇摆自慰器成人情趣性用品 规格: 筋爆战士-无线摇摆伸缩小号</t>
  </si>
  <si>
    <t>阳具震动棒筋爆战士无线摇摆伸缩小号</t>
  </si>
  <si>
    <t>现货批发电动仿真阳具女用按摩震动棒摇摆自慰器成人情趣性用品 规格: 筋爆战士-无线摇摆伸缩中号</t>
  </si>
  <si>
    <t>阳具震动棒筋爆战士无线摇摆伸缩中号</t>
  </si>
  <si>
    <t>现货批发电动仿真阳具女用按摩震动棒摇摆自慰器成人情趣性用品 规格: 霸道舌舔阳具【伸缩+摇摆+震动+加温+舌舔】</t>
  </si>
  <si>
    <t>阳具震动棒霸道舌舔阳具</t>
  </si>
  <si>
    <t>现货批发电动仿真阳具女用按摩震动棒摇摆自慰器成人情趣性用品 规格: 摇摆王中号</t>
  </si>
  <si>
    <t>阳具震动棒摇摆王中号</t>
  </si>
  <si>
    <t>现货批发电动仿真阳具女用按摩震动棒摇摆自慰器成人情趣性用品 规格: USB变频阳具小号（伸缩加温）</t>
  </si>
  <si>
    <t>阳具震动棒USB变频小号</t>
  </si>
  <si>
    <t>成人情趣用品男用阴臀倒模飞机杯手动按摩器源头工厂一件代发 规格: 肥唇熟妇</t>
  </si>
  <si>
    <t>男用手动按摩器肥唇熟妇</t>
  </si>
  <si>
    <t>硅胶宠物罐头盖红色</t>
  </si>
  <si>
    <t>宠物罐头盖红色</t>
  </si>
  <si>
    <t>CW</t>
  </si>
  <si>
    <t>硅胶绿色</t>
  </si>
  <si>
    <t>宠物罐头盖绿色</t>
  </si>
  <si>
    <t>硅胶宠物罐头盖橙色</t>
  </si>
  <si>
    <t>宠物罐头盖橙色</t>
  </si>
  <si>
    <t>硅胶宠物罐头盖深蓝色</t>
  </si>
  <si>
    <t>宠物罐头盖深蓝色</t>
  </si>
  <si>
    <t>硅胶宠物罐头盖天蓝色</t>
  </si>
  <si>
    <t>宠物罐头盖天蓝色</t>
  </si>
  <si>
    <t>深圳市飞奥达科技有限公司</t>
  </si>
  <si>
    <t>跨境新款宠物硅胶狗粮包户外便携随身训犬遛狗喂食腰包零食袋批发 规格: 宠物零食袋 颜色: 莴苣</t>
  </si>
  <si>
    <t>宠物零食袋浅绿色</t>
  </si>
  <si>
    <t>跨境新款宠物硅胶狗粮包户外便携随身训犬遛狗喂食腰包零食袋批发 规格: 宠物零食袋 颜色: 橄榄石</t>
  </si>
  <si>
    <t>宠物零食袋橄深绿色</t>
  </si>
  <si>
    <t>东莞市杰普达美妆用品有限公司</t>
  </si>
  <si>
    <t>2023跨境硅胶宠物慢食球 狗狗多功能藏食收纳器 宠物益智漏食器 颜色: 红绿色 规格: 散装</t>
  </si>
  <si>
    <t>宠物慢食球水果形状红绿色</t>
  </si>
  <si>
    <t>2023跨境硅胶宠物慢食球 狗狗多功能藏食收纳器 宠物益智漏食器 颜色: 草绿色 规格: 散装</t>
  </si>
  <si>
    <t>宠物慢食球水果形状草绿色</t>
  </si>
  <si>
    <t>2023跨境硅胶宠物慢食球 狗狗多功能藏食收纳器 宠物益智漏食器 颜色: 黄色 规格: 散装</t>
  </si>
  <si>
    <t>宠物慢食球水果形状黄色</t>
  </si>
  <si>
    <t>2023跨境硅胶宠物慢食球 狗狗多功能藏食收纳器 宠物益智漏食器 颜色: 橙色 规格: 散装</t>
  </si>
  <si>
    <t>宠物慢食球水果形状橙色</t>
  </si>
  <si>
    <t>杭州狸奴宠物用品有限公司</t>
  </si>
  <si>
    <t>狗狗外出水杯硅胶可折叠便携式水壶大容量喂水器大口径户外随行杯 规格: 浅灰色（550ml/179g）</t>
  </si>
  <si>
    <t>便携式水壶550ML浅灰色</t>
  </si>
  <si>
    <t>义乌市泽跃宠物用品有限公司</t>
  </si>
  <si>
    <t>厂家直销宠物碗狗狗硅胶双碗折叠碗猫吃饭喝水盆外出便携宠物用品 规格: TPE 颜色: 橙色</t>
  </si>
  <si>
    <t>宠物折叠双碗橙色</t>
  </si>
  <si>
    <t>厂家直销宠物碗狗狗硅胶双碗折叠碗猫吃饭喝水盆外出便携宠物用品 规格: TPE 颜色: 红色</t>
  </si>
  <si>
    <t>双碗折叠碗猫 红色</t>
  </si>
  <si>
    <t>厂家直销宠物碗狗狗硅胶双碗折叠碗猫吃饭喝水盆外出便携宠物用品 规格: TPE 颜色: 粉红色</t>
  </si>
  <si>
    <t>双碗折叠碗猫玫红色</t>
  </si>
  <si>
    <t>厂家直销宠物碗狗狗硅胶双碗折叠碗猫吃饭喝水盆外出便携宠物用品 规格: TPE 颜色: 绿色</t>
  </si>
  <si>
    <t>双碗折叠碗猫绿色</t>
  </si>
  <si>
    <t>厂家直销宠物碗狗狗硅胶双碗折叠碗猫吃饭喝水盆外出便携宠物用品 规格: TPE 颜色: 黑色</t>
  </si>
  <si>
    <t>双碗折叠碗猫黑色</t>
  </si>
  <si>
    <t>厂家直销宠物碗狗狗硅胶双碗折叠碗猫吃饭喝水盆外出便携宠物用品 规格: TPE 颜色: 蓝色</t>
  </si>
  <si>
    <t>双碗折叠碗猫蓝色</t>
  </si>
  <si>
    <t>跨境新款宠物硅胶狗粮包户外便携随身训犬遛狗喂食腰包零食袋批发 规格: 宠物零食袋 颜色: 米白色</t>
  </si>
  <si>
    <t>宠物零食袋米白色</t>
  </si>
  <si>
    <t>深圳市明力达科技有限公司</t>
  </si>
  <si>
    <t xml:space="preserve">厂家供应宠物训练漏食玩具户外硅胶宠物慢食喂食器硅胶宠物用品 规格: 9.9*9.9*10.3cm </t>
  </si>
  <si>
    <t>宠物漏食器黑白胡子款</t>
  </si>
  <si>
    <t>厂家供应宠物训练漏食玩具户外硅胶宠物慢食喂食器硅胶宠物用品</t>
  </si>
  <si>
    <t>宠物漏食器蘑菇款</t>
  </si>
  <si>
    <t xml:space="preserve">厂家供应宠物折叠碗外出便携狗碗折叠喂食碗连体塑料双碗宠物用品 规格: 31*13*5.5cm </t>
  </si>
  <si>
    <t>宠物漏食器红色</t>
  </si>
  <si>
    <t>宠物漏食器粉红色</t>
  </si>
  <si>
    <t>东莞市鑫火硅橡胶制品有限公司</t>
  </si>
  <si>
    <t>亚马逊热销宠物舔食垫食品级硅胶圆形鱼形吸盘狗舔垫宠物狗舔舐垫 规格: 小鱼儿 卡其灰</t>
  </si>
  <si>
    <t>鱼形宠物垫卡其灰色</t>
  </si>
  <si>
    <t>亚马逊热销宠物舔食垫食品级硅胶圆形鱼形吸盘狗舔垫宠物狗舔舐垫 规格: 小鱼儿 蓝色</t>
  </si>
  <si>
    <t>鱼形宠物垫蓝色</t>
  </si>
  <si>
    <t>亚马逊热销宠物舔食垫食品级硅胶圆形鱼形吸盘狗舔垫宠物狗舔舐垫 规格: 小鱼儿 绿色</t>
  </si>
  <si>
    <t>鱼形宠物垫绿色</t>
  </si>
  <si>
    <t>东莞市独特科技有限公司</t>
  </si>
  <si>
    <t>宠物舔食垫硅胶食用级猫狗慢食垫食具餐垫舔食盘舔舔垫防滑带吸盘</t>
  </si>
  <si>
    <t>宠物慢食垫粉色</t>
  </si>
  <si>
    <t>宠物慢食垫灰色</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</si>
</sst>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11">
    <font>
      <sz val="11"/>
      <color theme="1"/>
      <name val="宋体"/>
      <family val="2"/>
      <charset val="134"/>
      <scheme val="minor"/>
    </font>
    <font>
      <sz val="11"/>
      <name val="宋体"/>
      <family val="3"/>
      <charset val="134"/>
    </font>
    <font>
      <sz val="9"/>
      <name val="宋体"/>
      <family val="2"/>
      <charset val="134"/>
      <scheme val="minor"/>
    </font>
    <font>
      <sz val="11"/>
      <color rgb="FF000000"/>
      <name val="宋体"/>
      <family val="3"/>
      <charset val="134"/>
    </font>
    <font>
      <sz val="11"/>
      <color theme="1"/>
      <name val="宋体"/>
      <family val="3"/>
      <charset val="134"/>
      <scheme val="minor"/>
    </font>
    <font>
      <sz val="11"/>
      <color rgb="FF000000"/>
      <name val="Arial"/>
      <family val="2"/>
    </font>
    <font>
      <sz val="11"/>
      <name val="Arial"/>
      <family val="2"/>
    </font>
    <font>
      <sz val="11"/>
      <color indexed="8"/>
      <name val="Arial"/>
      <family val="2"/>
    </font>
    <font>
      <sz val="11"/>
      <color indexed="8"/>
      <name val="宋体"/>
      <family val="3"/>
      <charset val="134"/>
    </font>
    <font>
      <sz val="9"/>
      <color rgb="FF000000"/>
      <name val="Arial"/>
      <family val="2"/>
    </font>
    <font>
      <sz val="16"/>
      <color rgb="FF000000"/>
      <name val="宋体"/>
      <family val="3"/>
      <charset val="134"/>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4">
    <xf numFmtId="0" fontId="0" fillId="0" borderId="0" xfId="0">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43"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0" fontId="6" fillId="0" borderId="1" xfId="0" applyFont="1" applyBorder="1" applyAlignment="1">
      <alignment horizontal="center"/>
    </xf>
    <xf numFmtId="43" fontId="1" fillId="0" borderId="1" xfId="0" applyNumberFormat="1" applyFont="1" applyBorder="1" applyAlignment="1">
      <alignment horizontal="center" vertical="center"/>
    </xf>
    <xf numFmtId="0" fontId="3" fillId="0" borderId="1" xfId="0" applyFont="1" applyBorder="1" applyAlignment="1">
      <alignment horizontal="left" vertical="center"/>
    </xf>
    <xf numFmtId="0" fontId="6" fillId="0" borderId="1" xfId="0" applyFont="1" applyBorder="1" applyAlignment="1">
      <alignment horizontal="center" vertical="center"/>
    </xf>
    <xf numFmtId="0" fontId="6" fillId="0" borderId="1" xfId="0" quotePrefix="1" applyFont="1" applyBorder="1" applyAlignment="1">
      <alignment horizontal="center" vertical="center"/>
    </xf>
    <xf numFmtId="0" fontId="6" fillId="0" borderId="0" xfId="0" applyFont="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left" vertical="center" wrapText="1"/>
    </xf>
    <xf numFmtId="43" fontId="6" fillId="0" borderId="1" xfId="0" applyNumberFormat="1" applyFont="1" applyBorder="1" applyAlignment="1">
      <alignment horizontal="center" vertical="center"/>
    </xf>
    <xf numFmtId="0" fontId="5" fillId="0" borderId="1" xfId="0" quotePrefix="1" applyFont="1" applyBorder="1" applyAlignment="1">
      <alignment horizontal="center" vertical="center"/>
    </xf>
    <xf numFmtId="0" fontId="6" fillId="0" borderId="1" xfId="0" applyFont="1" applyBorder="1" applyAlignment="1">
      <alignment horizontal="left" vertical="center" wrapText="1"/>
    </xf>
    <xf numFmtId="0" fontId="9"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0" fillId="0" borderId="1" xfId="0" applyBorder="1" applyAlignment="1">
      <alignment horizontal="center"/>
    </xf>
    <xf numFmtId="0" fontId="0" fillId="0" borderId="1" xfId="0" applyBorder="1" applyAlignment="1"/>
    <xf numFmtId="43" fontId="10" fillId="0" borderId="1" xfId="0" applyNumberFormat="1" applyFont="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3" fillId="0" borderId="1" xfId="0" applyFont="1" applyFill="1" applyBorder="1" applyAlignment="1">
      <alignment horizontal="left" vertical="top" wrapText="1"/>
    </xf>
    <xf numFmtId="58" fontId="6" fillId="0" borderId="0" xfId="0" applyNumberFormat="1" applyFont="1" applyAlignment="1">
      <alignment horizontal="center" vertical="center"/>
    </xf>
    <xf numFmtId="0" fontId="1" fillId="0" borderId="1" xfId="0" applyFont="1" applyFill="1" applyBorder="1" applyAlignment="1">
      <alignment horizontal="left" vertical="top" wrapText="1"/>
    </xf>
    <xf numFmtId="0" fontId="3" fillId="0" borderId="1" xfId="0" applyFont="1" applyFill="1" applyBorder="1" applyAlignment="1">
      <alignment horizontal="left" vertical="center" wrapText="1"/>
    </xf>
    <xf numFmtId="0" fontId="6" fillId="0" borderId="0" xfId="0" applyFont="1" applyAlignment="1">
      <alignment horizontal="center"/>
    </xf>
    <xf numFmtId="0" fontId="3" fillId="2" borderId="1" xfId="0" applyFont="1" applyFill="1" applyBorder="1" applyAlignment="1">
      <alignment horizontal="left" vertical="center" wrapText="1"/>
    </xf>
    <xf numFmtId="0" fontId="5" fillId="0" borderId="1" xfId="0" applyFont="1" applyBorder="1" applyAlignment="1">
      <alignment horizontal="center"/>
    </xf>
    <xf numFmtId="0" fontId="5" fillId="0" borderId="1" xfId="0" applyFont="1" applyBorder="1" applyAlignment="1">
      <alignment horizontal="center" wrapText="1"/>
    </xf>
    <xf numFmtId="58" fontId="6" fillId="0" borderId="0" xfId="0" applyNumberFormat="1" applyFont="1" applyAlignment="1">
      <alignment horizontal="center"/>
    </xf>
    <xf numFmtId="0" fontId="3" fillId="0" borderId="1" xfId="0" applyFont="1" applyBorder="1" applyAlignment="1">
      <alignment horizontal="left" vertical="top" wrapText="1"/>
    </xf>
    <xf numFmtId="0" fontId="0" fillId="0" borderId="1" xfId="0" applyBorder="1" applyAlignment="1">
      <alignment horizontal="center" vertical="center"/>
    </xf>
    <xf numFmtId="0" fontId="1" fillId="0" borderId="1" xfId="0" applyFont="1" applyBorder="1" applyAlignment="1">
      <alignment horizontal="center" vertical="center"/>
    </xf>
  </cellXfs>
  <cellStyles count="1">
    <cellStyle name="常规" xfId="0" builtinId="0"/>
  </cellStyles>
  <dxfs count="2">
    <dxf>
      <fill>
        <patternFill patternType="solid">
          <fgColor indexed="64"/>
          <bgColor rgb="FFFFC000"/>
        </patternFill>
      </fill>
    </dxf>
    <dxf>
      <fill>
        <patternFill patternType="solid">
          <fgColor indexed="64"/>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1"/>
  <sheetViews>
    <sheetView tabSelected="1" workbookViewId="0">
      <selection activeCell="C4" sqref="C4"/>
    </sheetView>
  </sheetViews>
  <sheetFormatPr defaultRowHeight="13.5"/>
  <sheetData>
    <row r="1" spans="1:13" ht="71.25">
      <c r="A1" s="1" t="s">
        <v>0</v>
      </c>
      <c r="B1" s="1" t="s">
        <v>1</v>
      </c>
      <c r="C1" s="2" t="s">
        <v>2</v>
      </c>
      <c r="D1" s="3" t="s">
        <v>3</v>
      </c>
      <c r="E1" s="2" t="s">
        <v>4</v>
      </c>
      <c r="F1" s="4" t="s">
        <v>5</v>
      </c>
      <c r="G1" s="5" t="s">
        <v>6</v>
      </c>
      <c r="H1" s="4" t="s">
        <v>7</v>
      </c>
      <c r="I1" s="2" t="s">
        <v>8</v>
      </c>
      <c r="J1" s="6" t="s">
        <v>9</v>
      </c>
      <c r="K1" s="6" t="s">
        <v>10</v>
      </c>
      <c r="L1" s="7"/>
      <c r="M1" s="8" t="s">
        <v>11</v>
      </c>
    </row>
    <row r="2" spans="1:13" ht="148.5">
      <c r="A2" s="9" t="s">
        <v>12</v>
      </c>
      <c r="B2" s="10" t="s">
        <v>13</v>
      </c>
      <c r="C2" s="11" t="e">
        <f ca="1">_xlfn.DISPIMG("ID_F82510FBB37E43878501F3356D378A0D",1)</f>
        <v>#NAME?</v>
      </c>
      <c r="D2" s="12">
        <v>5.4</v>
      </c>
      <c r="E2" s="13" t="s">
        <v>14</v>
      </c>
      <c r="F2" s="14" t="s">
        <v>15</v>
      </c>
      <c r="G2" s="15" t="s">
        <v>16</v>
      </c>
      <c r="H2" s="15" t="s">
        <v>17</v>
      </c>
      <c r="I2" s="14" t="str">
        <f>F2&amp;G2&amp;H2</f>
        <v>BG010001</v>
      </c>
      <c r="J2" s="14">
        <f t="shared" ref="J2:J41" si="0">ROUND(D2*1.12,2)</f>
        <v>6.05</v>
      </c>
      <c r="K2" s="14"/>
      <c r="L2" s="14"/>
      <c r="M2" s="16"/>
    </row>
    <row r="3" spans="1:13" ht="14.25">
      <c r="A3" s="9"/>
      <c r="B3" s="10"/>
      <c r="C3" s="11" t="e">
        <f ca="1">_xlfn.DISPIMG("ID_D570F413400840A0830F3895566D5A28",1)</f>
        <v>#NAME?</v>
      </c>
      <c r="D3" s="12">
        <v>5.4</v>
      </c>
      <c r="E3" s="13" t="s">
        <v>18</v>
      </c>
      <c r="F3" s="17" t="s">
        <v>19</v>
      </c>
      <c r="G3" s="15" t="s">
        <v>16</v>
      </c>
      <c r="H3" s="15" t="s">
        <v>17</v>
      </c>
      <c r="I3" s="14" t="str">
        <f>F3&amp;G3&amp;H3</f>
        <v>T2-BG010001</v>
      </c>
      <c r="J3" s="14">
        <f t="shared" si="0"/>
        <v>6.05</v>
      </c>
      <c r="K3" s="14"/>
      <c r="L3" s="14"/>
      <c r="M3" s="16"/>
    </row>
    <row r="4" spans="1:13" ht="135">
      <c r="A4" s="13" t="s">
        <v>20</v>
      </c>
      <c r="B4" s="18" t="s">
        <v>21</v>
      </c>
      <c r="C4" s="14" t="e">
        <f ca="1">_xlfn.DISPIMG("ID_75B15D2A4D774806A4567E5B7629BF18",1)</f>
        <v>#NAME?</v>
      </c>
      <c r="D4" s="19">
        <v>8.3000000000000007</v>
      </c>
      <c r="E4" s="9" t="s">
        <v>22</v>
      </c>
      <c r="F4" s="14" t="s">
        <v>15</v>
      </c>
      <c r="G4" s="15" t="s">
        <v>16</v>
      </c>
      <c r="H4" s="15" t="s">
        <v>23</v>
      </c>
      <c r="I4" s="14" t="str">
        <f t="shared" ref="I4:I14" si="1">F4&amp;G4&amp;H4</f>
        <v>BG010002</v>
      </c>
      <c r="J4" s="14">
        <f t="shared" si="0"/>
        <v>9.3000000000000007</v>
      </c>
      <c r="K4" s="14"/>
      <c r="L4" s="14"/>
      <c r="M4" s="16"/>
    </row>
    <row r="5" spans="1:13" ht="135">
      <c r="A5" s="10" t="s">
        <v>20</v>
      </c>
      <c r="B5" s="18" t="s">
        <v>24</v>
      </c>
      <c r="C5" s="14" t="e">
        <f ca="1">_xlfn.DISPIMG("ID_5929668EDD0842718A9B3F135D916E05",1)</f>
        <v>#NAME?</v>
      </c>
      <c r="D5" s="19">
        <v>8.3000000000000007</v>
      </c>
      <c r="E5" s="18" t="s">
        <v>25</v>
      </c>
      <c r="F5" s="14" t="s">
        <v>15</v>
      </c>
      <c r="G5" s="15" t="s">
        <v>16</v>
      </c>
      <c r="H5" s="15" t="s">
        <v>26</v>
      </c>
      <c r="I5" s="14" t="str">
        <f t="shared" si="1"/>
        <v>BG010003</v>
      </c>
      <c r="J5" s="14">
        <f t="shared" si="0"/>
        <v>9.3000000000000007</v>
      </c>
      <c r="K5" s="14"/>
      <c r="L5" s="14"/>
      <c r="M5" s="16"/>
    </row>
    <row r="6" spans="1:13" ht="135">
      <c r="A6" s="10" t="s">
        <v>20</v>
      </c>
      <c r="B6" s="18" t="s">
        <v>27</v>
      </c>
      <c r="C6" s="14" t="e">
        <f ca="1">_xlfn.DISPIMG("ID_5BC7504C35AE4B3CAC53F2852CDB1546",1)</f>
        <v>#NAME?</v>
      </c>
      <c r="D6" s="19"/>
      <c r="E6" s="18" t="s">
        <v>28</v>
      </c>
      <c r="F6" s="14" t="s">
        <v>15</v>
      </c>
      <c r="G6" s="15" t="s">
        <v>16</v>
      </c>
      <c r="H6" s="15" t="s">
        <v>29</v>
      </c>
      <c r="I6" s="14" t="str">
        <f t="shared" si="1"/>
        <v>BG010004</v>
      </c>
      <c r="J6" s="14">
        <f t="shared" si="0"/>
        <v>0</v>
      </c>
      <c r="K6" s="14"/>
      <c r="L6" s="14"/>
      <c r="M6" s="16"/>
    </row>
    <row r="7" spans="1:13" ht="108">
      <c r="A7" s="10" t="s">
        <v>20</v>
      </c>
      <c r="B7" s="10" t="s">
        <v>30</v>
      </c>
      <c r="C7" s="14" t="e">
        <f ca="1">_xlfn.DISPIMG("ID_75B15D2A4D774806A4567E5B7629BF18",1)</f>
        <v>#NAME?</v>
      </c>
      <c r="D7" s="19">
        <f>8.3*2</f>
        <v>16.600000000000001</v>
      </c>
      <c r="E7" s="10" t="s">
        <v>31</v>
      </c>
      <c r="F7" s="14" t="s">
        <v>15</v>
      </c>
      <c r="G7" s="15" t="s">
        <v>16</v>
      </c>
      <c r="H7" s="20" t="s">
        <v>32</v>
      </c>
      <c r="I7" s="14" t="str">
        <f t="shared" si="1"/>
        <v>BG010082</v>
      </c>
      <c r="J7" s="14">
        <f t="shared" si="0"/>
        <v>18.59</v>
      </c>
      <c r="K7" s="14"/>
      <c r="L7" s="14"/>
      <c r="M7" s="16"/>
    </row>
    <row r="8" spans="1:13" ht="108">
      <c r="A8" s="18" t="s">
        <v>20</v>
      </c>
      <c r="B8" s="10" t="s">
        <v>33</v>
      </c>
      <c r="C8" s="14" t="e">
        <f ca="1">_xlfn.DISPIMG("ID_5929668EDD0842718A9B3F135D916E05",1)</f>
        <v>#NAME?</v>
      </c>
      <c r="D8" s="19">
        <f>8.3*2</f>
        <v>16.600000000000001</v>
      </c>
      <c r="E8" s="10" t="s">
        <v>34</v>
      </c>
      <c r="F8" s="14" t="s">
        <v>15</v>
      </c>
      <c r="G8" s="15" t="s">
        <v>16</v>
      </c>
      <c r="H8" s="20" t="s">
        <v>35</v>
      </c>
      <c r="I8" s="14" t="str">
        <f t="shared" si="1"/>
        <v>BG010083</v>
      </c>
      <c r="J8" s="14">
        <f t="shared" si="0"/>
        <v>18.59</v>
      </c>
      <c r="K8" s="14"/>
      <c r="L8" s="14"/>
      <c r="M8" s="16"/>
    </row>
    <row r="9" spans="1:13" ht="108">
      <c r="A9" s="18" t="s">
        <v>20</v>
      </c>
      <c r="B9" s="10" t="s">
        <v>36</v>
      </c>
      <c r="C9" s="14" t="e">
        <f ca="1">_xlfn.DISPIMG("ID_5BC7504C35AE4B3CAC53F2852CDB1546",1)</f>
        <v>#NAME?</v>
      </c>
      <c r="D9" s="19">
        <f>8.3*2</f>
        <v>16.600000000000001</v>
      </c>
      <c r="E9" s="10" t="s">
        <v>37</v>
      </c>
      <c r="F9" s="14" t="s">
        <v>15</v>
      </c>
      <c r="G9" s="15" t="s">
        <v>16</v>
      </c>
      <c r="H9" s="20" t="s">
        <v>38</v>
      </c>
      <c r="I9" s="14" t="str">
        <f t="shared" si="1"/>
        <v>BG010084</v>
      </c>
      <c r="J9" s="14">
        <f t="shared" si="0"/>
        <v>18.59</v>
      </c>
      <c r="K9" s="14"/>
      <c r="L9" s="14"/>
      <c r="M9" s="16"/>
    </row>
    <row r="10" spans="1:13" ht="148.5">
      <c r="A10" s="10" t="s">
        <v>39</v>
      </c>
      <c r="B10" s="18" t="s">
        <v>40</v>
      </c>
      <c r="C10" s="14" t="e">
        <f ca="1">_xlfn.DISPIMG("ID_9E6C2633E6E641608B494D36BDE84FCD",1)</f>
        <v>#NAME?</v>
      </c>
      <c r="D10" s="19">
        <v>9</v>
      </c>
      <c r="E10" s="18" t="s">
        <v>41</v>
      </c>
      <c r="F10" s="14" t="s">
        <v>15</v>
      </c>
      <c r="G10" s="15" t="s">
        <v>16</v>
      </c>
      <c r="H10" s="15" t="s">
        <v>42</v>
      </c>
      <c r="I10" s="14" t="str">
        <f t="shared" si="1"/>
        <v>BG010005</v>
      </c>
      <c r="J10" s="14">
        <f t="shared" si="0"/>
        <v>10.08</v>
      </c>
      <c r="K10" s="14"/>
      <c r="L10" s="14"/>
      <c r="M10" s="16"/>
    </row>
    <row r="11" spans="1:13" ht="148.5">
      <c r="A11" s="10" t="s">
        <v>39</v>
      </c>
      <c r="B11" s="18" t="s">
        <v>43</v>
      </c>
      <c r="C11" s="14" t="e">
        <f ca="1">_xlfn.DISPIMG("ID_DC44AABAEB954027A6FD296B9A94F3DC",1)</f>
        <v>#NAME?</v>
      </c>
      <c r="D11" s="19">
        <v>9</v>
      </c>
      <c r="E11" s="18" t="s">
        <v>44</v>
      </c>
      <c r="F11" s="14" t="s">
        <v>15</v>
      </c>
      <c r="G11" s="15" t="s">
        <v>16</v>
      </c>
      <c r="H11" s="15" t="s">
        <v>45</v>
      </c>
      <c r="I11" s="14" t="str">
        <f t="shared" si="1"/>
        <v>BG010006</v>
      </c>
      <c r="J11" s="14">
        <f t="shared" si="0"/>
        <v>10.08</v>
      </c>
      <c r="K11" s="14"/>
      <c r="L11" s="14"/>
      <c r="M11" s="16"/>
    </row>
    <row r="12" spans="1:13" ht="148.5">
      <c r="A12" s="10" t="s">
        <v>39</v>
      </c>
      <c r="B12" s="18" t="s">
        <v>46</v>
      </c>
      <c r="C12" s="14" t="e">
        <f ca="1">_xlfn.DISPIMG("ID_80933AE81830474C9D4F7E8DB01527AC",1)</f>
        <v>#NAME?</v>
      </c>
      <c r="D12" s="19">
        <v>9</v>
      </c>
      <c r="E12" s="18" t="s">
        <v>47</v>
      </c>
      <c r="F12" s="14" t="s">
        <v>15</v>
      </c>
      <c r="G12" s="15" t="s">
        <v>16</v>
      </c>
      <c r="H12" s="15" t="s">
        <v>48</v>
      </c>
      <c r="I12" s="14" t="str">
        <f t="shared" si="1"/>
        <v>BG010007</v>
      </c>
      <c r="J12" s="14">
        <f t="shared" si="0"/>
        <v>10.08</v>
      </c>
      <c r="K12" s="14"/>
      <c r="L12" s="14"/>
      <c r="M12" s="16"/>
    </row>
    <row r="13" spans="1:13" ht="148.5">
      <c r="A13" s="10" t="s">
        <v>39</v>
      </c>
      <c r="B13" s="18" t="s">
        <v>49</v>
      </c>
      <c r="C13" s="14" t="e">
        <f ca="1">_xlfn.DISPIMG("ID_960D1D19104F4400B8D158906BA00265",1)</f>
        <v>#NAME?</v>
      </c>
      <c r="D13" s="19">
        <v>9</v>
      </c>
      <c r="E13" s="18" t="s">
        <v>50</v>
      </c>
      <c r="F13" s="14" t="s">
        <v>15</v>
      </c>
      <c r="G13" s="15" t="s">
        <v>16</v>
      </c>
      <c r="H13" s="15" t="s">
        <v>51</v>
      </c>
      <c r="I13" s="14" t="str">
        <f t="shared" si="1"/>
        <v>BG010008</v>
      </c>
      <c r="J13" s="14">
        <f t="shared" si="0"/>
        <v>10.08</v>
      </c>
      <c r="K13" s="14"/>
      <c r="L13" s="14"/>
      <c r="M13" s="16"/>
    </row>
    <row r="14" spans="1:13" ht="175.5">
      <c r="A14" s="10" t="s">
        <v>52</v>
      </c>
      <c r="B14" s="10" t="s">
        <v>53</v>
      </c>
      <c r="C14" s="14" t="e">
        <f ca="1">_xlfn.DISPIMG("ID_1E8F214431E141179ED140A92F707A7B",1)</f>
        <v>#NAME?</v>
      </c>
      <c r="D14" s="19">
        <v>1.95</v>
      </c>
      <c r="E14" s="18" t="s">
        <v>54</v>
      </c>
      <c r="F14" s="14" t="s">
        <v>15</v>
      </c>
      <c r="G14" s="15" t="s">
        <v>16</v>
      </c>
      <c r="H14" s="15" t="s">
        <v>55</v>
      </c>
      <c r="I14" s="14" t="str">
        <f t="shared" si="1"/>
        <v>BG010009</v>
      </c>
      <c r="J14" s="14">
        <f t="shared" si="0"/>
        <v>2.1800000000000002</v>
      </c>
      <c r="K14" s="14"/>
      <c r="L14" s="14"/>
      <c r="M14" s="16"/>
    </row>
    <row r="15" spans="1:13" ht="175.5">
      <c r="A15" s="10" t="s">
        <v>52</v>
      </c>
      <c r="B15" s="10" t="s">
        <v>53</v>
      </c>
      <c r="C15" s="14" t="e">
        <f ca="1">_xlfn.DISPIMG("ID_1E8F214431E141179ED140A92F707A7B",1)</f>
        <v>#NAME?</v>
      </c>
      <c r="D15" s="19">
        <v>5.85</v>
      </c>
      <c r="E15" s="10" t="s">
        <v>56</v>
      </c>
      <c r="F15" s="17" t="s">
        <v>15</v>
      </c>
      <c r="G15" s="20" t="s">
        <v>16</v>
      </c>
      <c r="H15" s="20" t="s">
        <v>55</v>
      </c>
      <c r="I15" s="17" t="s">
        <v>57</v>
      </c>
      <c r="J15" s="14">
        <f t="shared" si="0"/>
        <v>6.55</v>
      </c>
      <c r="K15" s="14"/>
      <c r="L15" s="14"/>
      <c r="M15" s="16"/>
    </row>
    <row r="16" spans="1:13" ht="175.5">
      <c r="A16" s="10" t="s">
        <v>52</v>
      </c>
      <c r="B16" s="10" t="s">
        <v>53</v>
      </c>
      <c r="C16" s="14" t="e">
        <f ca="1">_xlfn.DISPIMG("ID_6CDC0D971F254312BEEE994BC8E3C3F8",1)</f>
        <v>#NAME?</v>
      </c>
      <c r="D16" s="19">
        <v>5.85</v>
      </c>
      <c r="E16" s="10" t="s">
        <v>58</v>
      </c>
      <c r="F16" s="17" t="s">
        <v>15</v>
      </c>
      <c r="G16" s="20" t="s">
        <v>16</v>
      </c>
      <c r="H16" s="20" t="s">
        <v>55</v>
      </c>
      <c r="I16" s="17" t="s">
        <v>59</v>
      </c>
      <c r="J16" s="14">
        <f t="shared" si="0"/>
        <v>6.55</v>
      </c>
      <c r="K16" s="14"/>
      <c r="L16" s="14"/>
      <c r="M16" s="16"/>
    </row>
    <row r="17" spans="1:13" ht="175.5">
      <c r="A17" s="10" t="s">
        <v>52</v>
      </c>
      <c r="B17" s="10" t="s">
        <v>53</v>
      </c>
      <c r="C17" s="14" t="e">
        <f ca="1">_xlfn.DISPIMG("ID_166A9E57508D4B9B90948A95D0468BA5",1)</f>
        <v>#NAME?</v>
      </c>
      <c r="D17" s="19">
        <v>5.85</v>
      </c>
      <c r="E17" s="10" t="s">
        <v>60</v>
      </c>
      <c r="F17" s="17" t="s">
        <v>15</v>
      </c>
      <c r="G17" s="20" t="s">
        <v>16</v>
      </c>
      <c r="H17" s="20" t="s">
        <v>55</v>
      </c>
      <c r="I17" s="17" t="s">
        <v>61</v>
      </c>
      <c r="J17" s="14">
        <f t="shared" si="0"/>
        <v>6.55</v>
      </c>
      <c r="K17" s="14"/>
      <c r="L17" s="14"/>
      <c r="M17" s="16"/>
    </row>
    <row r="18" spans="1:13" ht="175.5">
      <c r="A18" s="10" t="s">
        <v>52</v>
      </c>
      <c r="B18" s="10" t="s">
        <v>53</v>
      </c>
      <c r="C18" s="18" t="e">
        <f ca="1">_xlfn.DISPIMG("ID_280CE51D0A9B4C50A4D9318DF69FFBE1",1)</f>
        <v>#NAME?</v>
      </c>
      <c r="D18" s="19">
        <v>5.85</v>
      </c>
      <c r="E18" s="10" t="s">
        <v>62</v>
      </c>
      <c r="F18" s="17" t="s">
        <v>15</v>
      </c>
      <c r="G18" s="20" t="s">
        <v>16</v>
      </c>
      <c r="H18" s="20" t="s">
        <v>55</v>
      </c>
      <c r="I18" s="17" t="s">
        <v>63</v>
      </c>
      <c r="J18" s="14">
        <f t="shared" si="0"/>
        <v>6.55</v>
      </c>
      <c r="K18" s="14"/>
      <c r="L18" s="14"/>
      <c r="M18" s="16"/>
    </row>
    <row r="19" spans="1:13" ht="175.5">
      <c r="A19" s="10" t="s">
        <v>52</v>
      </c>
      <c r="B19" s="10" t="s">
        <v>53</v>
      </c>
      <c r="C19" s="14" t="e">
        <f ca="1">_xlfn.DISPIMG("ID_F42EFCE621AB4B26909CD739074B2692",1)</f>
        <v>#NAME?</v>
      </c>
      <c r="D19" s="19">
        <v>5.85</v>
      </c>
      <c r="E19" s="10" t="s">
        <v>64</v>
      </c>
      <c r="F19" s="17" t="s">
        <v>15</v>
      </c>
      <c r="G19" s="20" t="s">
        <v>16</v>
      </c>
      <c r="H19" s="20" t="s">
        <v>55</v>
      </c>
      <c r="I19" s="17" t="s">
        <v>65</v>
      </c>
      <c r="J19" s="14">
        <f t="shared" si="0"/>
        <v>6.55</v>
      </c>
      <c r="K19" s="14"/>
      <c r="L19" s="14"/>
      <c r="M19" s="16"/>
    </row>
    <row r="20" spans="1:13" ht="175.5">
      <c r="A20" s="10" t="s">
        <v>52</v>
      </c>
      <c r="B20" s="10" t="s">
        <v>53</v>
      </c>
      <c r="C20" s="14" t="e">
        <f ca="1">_xlfn.DISPIMG("ID_689D39C4FEAB4FB288ADE26683676367",1)</f>
        <v>#NAME?</v>
      </c>
      <c r="D20" s="19">
        <v>5.85</v>
      </c>
      <c r="E20" s="10" t="s">
        <v>66</v>
      </c>
      <c r="F20" s="17" t="s">
        <v>15</v>
      </c>
      <c r="G20" s="20" t="s">
        <v>16</v>
      </c>
      <c r="H20" s="20" t="s">
        <v>55</v>
      </c>
      <c r="I20" s="17" t="s">
        <v>67</v>
      </c>
      <c r="J20" s="14">
        <f t="shared" si="0"/>
        <v>6.55</v>
      </c>
      <c r="K20" s="14"/>
      <c r="L20" s="14"/>
      <c r="M20" s="16"/>
    </row>
    <row r="21" spans="1:13" ht="175.5">
      <c r="A21" s="10" t="s">
        <v>52</v>
      </c>
      <c r="B21" s="10" t="s">
        <v>68</v>
      </c>
      <c r="C21" s="14" t="e">
        <f ca="1">_xlfn.DISPIMG("ID_F42EFCE621AB4B26909CD739074B2692",1)</f>
        <v>#NAME?</v>
      </c>
      <c r="D21" s="19">
        <v>1.95</v>
      </c>
      <c r="E21" s="10" t="s">
        <v>69</v>
      </c>
      <c r="F21" s="14" t="s">
        <v>15</v>
      </c>
      <c r="G21" s="15" t="s">
        <v>16</v>
      </c>
      <c r="H21" s="20" t="s">
        <v>70</v>
      </c>
      <c r="I21" s="14" t="str">
        <f t="shared" ref="I21:I84" si="2">F21&amp;G21&amp;H21</f>
        <v>BG010050</v>
      </c>
      <c r="J21" s="14">
        <f t="shared" si="0"/>
        <v>2.1800000000000002</v>
      </c>
      <c r="K21" s="14"/>
      <c r="L21" s="14"/>
      <c r="M21" s="16"/>
    </row>
    <row r="22" spans="1:13" ht="175.5">
      <c r="A22" s="10" t="s">
        <v>52</v>
      </c>
      <c r="B22" s="10" t="s">
        <v>71</v>
      </c>
      <c r="C22" s="14" t="e">
        <f ca="1">_xlfn.DISPIMG("ID_6CDC0D971F254312BEEE994BC8E3C3F8",1)</f>
        <v>#NAME?</v>
      </c>
      <c r="D22" s="19">
        <v>1.95</v>
      </c>
      <c r="E22" s="10" t="s">
        <v>72</v>
      </c>
      <c r="F22" s="14" t="s">
        <v>15</v>
      </c>
      <c r="G22" s="15" t="s">
        <v>16</v>
      </c>
      <c r="H22" s="20" t="s">
        <v>73</v>
      </c>
      <c r="I22" s="14" t="str">
        <f t="shared" si="2"/>
        <v>BG010047</v>
      </c>
      <c r="J22" s="14">
        <f t="shared" si="0"/>
        <v>2.1800000000000002</v>
      </c>
      <c r="K22" s="14"/>
      <c r="L22" s="14"/>
      <c r="M22" s="16"/>
    </row>
    <row r="23" spans="1:13" ht="175.5">
      <c r="A23" s="10" t="s">
        <v>52</v>
      </c>
      <c r="B23" s="10" t="s">
        <v>74</v>
      </c>
      <c r="C23" s="14" t="e">
        <f ca="1">_xlfn.DISPIMG("ID_166A9E57508D4B9B90948A95D0468BA5",1)</f>
        <v>#NAME?</v>
      </c>
      <c r="D23" s="19">
        <v>1.95</v>
      </c>
      <c r="E23" s="10" t="s">
        <v>75</v>
      </c>
      <c r="F23" s="14" t="s">
        <v>15</v>
      </c>
      <c r="G23" s="15" t="s">
        <v>16</v>
      </c>
      <c r="H23" s="20" t="s">
        <v>76</v>
      </c>
      <c r="I23" s="14" t="str">
        <f t="shared" si="2"/>
        <v>BG010048</v>
      </c>
      <c r="J23" s="14">
        <f t="shared" si="0"/>
        <v>2.1800000000000002</v>
      </c>
      <c r="K23" s="14"/>
      <c r="L23" s="14"/>
      <c r="M23" s="16"/>
    </row>
    <row r="24" spans="1:13" ht="175.5">
      <c r="A24" s="10" t="s">
        <v>52</v>
      </c>
      <c r="B24" s="10" t="s">
        <v>77</v>
      </c>
      <c r="C24" s="14" t="e">
        <f ca="1">_xlfn.DISPIMG("ID_689D39C4FEAB4FB288ADE26683676367",1)</f>
        <v>#NAME?</v>
      </c>
      <c r="D24" s="19">
        <v>1.95</v>
      </c>
      <c r="E24" s="10" t="s">
        <v>78</v>
      </c>
      <c r="F24" s="14" t="s">
        <v>15</v>
      </c>
      <c r="G24" s="15" t="s">
        <v>16</v>
      </c>
      <c r="H24" s="20" t="s">
        <v>79</v>
      </c>
      <c r="I24" s="14" t="str">
        <f t="shared" si="2"/>
        <v>BG010049</v>
      </c>
      <c r="J24" s="14">
        <f t="shared" si="0"/>
        <v>2.1800000000000002</v>
      </c>
      <c r="K24" s="14"/>
      <c r="L24" s="14"/>
      <c r="M24" s="16"/>
    </row>
    <row r="25" spans="1:13" ht="175.5">
      <c r="A25" s="10" t="s">
        <v>52</v>
      </c>
      <c r="B25" s="10" t="s">
        <v>80</v>
      </c>
      <c r="C25" s="18" t="e">
        <f ca="1">_xlfn.DISPIMG("ID_280CE51D0A9B4C50A4D9318DF69FFBE1",1)</f>
        <v>#NAME?</v>
      </c>
      <c r="D25" s="19">
        <v>1.95</v>
      </c>
      <c r="E25" s="10" t="s">
        <v>81</v>
      </c>
      <c r="F25" s="14" t="s">
        <v>15</v>
      </c>
      <c r="G25" s="15" t="s">
        <v>16</v>
      </c>
      <c r="H25" s="20" t="s">
        <v>82</v>
      </c>
      <c r="I25" s="14" t="str">
        <f t="shared" si="2"/>
        <v>BG010061</v>
      </c>
      <c r="J25" s="14">
        <f t="shared" si="0"/>
        <v>2.1800000000000002</v>
      </c>
      <c r="K25" s="14"/>
      <c r="L25" s="14"/>
      <c r="M25" s="16"/>
    </row>
    <row r="26" spans="1:13" ht="40.5">
      <c r="A26" s="10"/>
      <c r="B26" s="10" t="s">
        <v>83</v>
      </c>
      <c r="C26" s="18"/>
      <c r="D26" s="19">
        <v>3.8</v>
      </c>
      <c r="E26" s="10" t="s">
        <v>83</v>
      </c>
      <c r="F26" s="14" t="s">
        <v>15</v>
      </c>
      <c r="G26" s="15" t="s">
        <v>16</v>
      </c>
      <c r="H26" s="20" t="s">
        <v>84</v>
      </c>
      <c r="I26" s="14" t="str">
        <f t="shared" si="2"/>
        <v>BG010088</v>
      </c>
      <c r="J26" s="14">
        <f t="shared" si="0"/>
        <v>4.26</v>
      </c>
      <c r="K26" s="14"/>
      <c r="L26" s="14"/>
      <c r="M26" s="16"/>
    </row>
    <row r="27" spans="1:13" ht="40.5">
      <c r="A27" s="10"/>
      <c r="B27" s="10" t="s">
        <v>85</v>
      </c>
      <c r="C27" s="18" t="e">
        <f ca="1">_xlfn.DISPIMG("ID_4B0761A0F342438B8D76744E02F54FCD",1)</f>
        <v>#NAME?</v>
      </c>
      <c r="D27" s="19">
        <v>4.9000000000000004</v>
      </c>
      <c r="E27" s="10" t="s">
        <v>85</v>
      </c>
      <c r="F27" s="14" t="s">
        <v>15</v>
      </c>
      <c r="G27" s="15" t="s">
        <v>16</v>
      </c>
      <c r="H27" s="20" t="s">
        <v>86</v>
      </c>
      <c r="I27" s="14" t="str">
        <f t="shared" si="2"/>
        <v>BG010087</v>
      </c>
      <c r="J27" s="14">
        <f t="shared" si="0"/>
        <v>5.49</v>
      </c>
      <c r="K27" s="17" t="s">
        <v>87</v>
      </c>
      <c r="L27" s="14"/>
      <c r="M27" s="16"/>
    </row>
    <row r="28" spans="1:13" ht="121.5">
      <c r="A28" s="10" t="s">
        <v>88</v>
      </c>
      <c r="B28" s="10" t="s">
        <v>89</v>
      </c>
      <c r="C28" s="14" t="e">
        <f ca="1">_xlfn.DISPIMG("ID_2E6DECEB47F6443B8CF238D7D6656FBC",1)</f>
        <v>#NAME?</v>
      </c>
      <c r="D28" s="19">
        <v>3.18</v>
      </c>
      <c r="E28" s="10" t="s">
        <v>90</v>
      </c>
      <c r="F28" s="14" t="s">
        <v>15</v>
      </c>
      <c r="G28" s="15" t="s">
        <v>16</v>
      </c>
      <c r="H28" s="15" t="s">
        <v>91</v>
      </c>
      <c r="I28" s="14" t="str">
        <f t="shared" si="2"/>
        <v>BG010010</v>
      </c>
      <c r="J28" s="14">
        <f t="shared" si="0"/>
        <v>3.56</v>
      </c>
      <c r="K28" s="14"/>
      <c r="L28" s="14"/>
      <c r="M28" s="16"/>
    </row>
    <row r="29" spans="1:13" ht="121.5">
      <c r="A29" s="18" t="s">
        <v>92</v>
      </c>
      <c r="B29" s="18" t="s">
        <v>93</v>
      </c>
      <c r="C29" s="14" t="e">
        <f ca="1">_xlfn.DISPIMG("ID_E07CB971380141D69A35A37A1A2F3E64",1)</f>
        <v>#NAME?</v>
      </c>
      <c r="D29" s="19">
        <v>2.8250000000000002</v>
      </c>
      <c r="E29" s="21" t="s">
        <v>94</v>
      </c>
      <c r="F29" s="14" t="s">
        <v>15</v>
      </c>
      <c r="G29" s="15" t="s">
        <v>16</v>
      </c>
      <c r="H29" s="15" t="s">
        <v>95</v>
      </c>
      <c r="I29" s="14" t="str">
        <f t="shared" si="2"/>
        <v>BG010011</v>
      </c>
      <c r="J29" s="14">
        <f t="shared" si="0"/>
        <v>3.16</v>
      </c>
      <c r="K29" s="14"/>
      <c r="L29" s="14"/>
      <c r="M29" s="16"/>
    </row>
    <row r="30" spans="1:13" ht="121.5">
      <c r="A30" s="18" t="s">
        <v>92</v>
      </c>
      <c r="B30" s="18" t="s">
        <v>96</v>
      </c>
      <c r="C30" s="14" t="e">
        <f ca="1">_xlfn.DISPIMG("ID_DBFB01B04820483080D4502AC521ED52",1)</f>
        <v>#NAME?</v>
      </c>
      <c r="D30" s="19">
        <v>2.8250000000000002</v>
      </c>
      <c r="E30" s="21" t="s">
        <v>97</v>
      </c>
      <c r="F30" s="14" t="s">
        <v>15</v>
      </c>
      <c r="G30" s="15" t="s">
        <v>16</v>
      </c>
      <c r="H30" s="15" t="s">
        <v>98</v>
      </c>
      <c r="I30" s="14" t="str">
        <f t="shared" si="2"/>
        <v>BG010012</v>
      </c>
      <c r="J30" s="14">
        <f t="shared" si="0"/>
        <v>3.16</v>
      </c>
      <c r="K30" s="14"/>
      <c r="L30" s="14"/>
      <c r="M30" s="16"/>
    </row>
    <row r="31" spans="1:13" ht="108">
      <c r="A31" s="18" t="s">
        <v>92</v>
      </c>
      <c r="B31" s="18" t="s">
        <v>99</v>
      </c>
      <c r="C31" s="14" t="e">
        <f ca="1">_xlfn.DISPIMG("ID_2C50F97BC8F94FCEAF36016C785670F9",1)</f>
        <v>#NAME?</v>
      </c>
      <c r="D31" s="19">
        <f>2.83*2</f>
        <v>5.66</v>
      </c>
      <c r="E31" s="22" t="s">
        <v>100</v>
      </c>
      <c r="F31" s="14" t="s">
        <v>15</v>
      </c>
      <c r="G31" s="15" t="s">
        <v>16</v>
      </c>
      <c r="H31" s="15" t="s">
        <v>101</v>
      </c>
      <c r="I31" s="14" t="str">
        <f t="shared" si="2"/>
        <v>BG010013</v>
      </c>
      <c r="J31" s="14">
        <f t="shared" si="0"/>
        <v>6.34</v>
      </c>
      <c r="K31" s="14"/>
      <c r="L31" s="14"/>
      <c r="M31" s="16"/>
    </row>
    <row r="32" spans="1:13" ht="148.5">
      <c r="A32" s="18" t="s">
        <v>102</v>
      </c>
      <c r="B32" s="10" t="s">
        <v>103</v>
      </c>
      <c r="C32" s="14" t="e">
        <f ca="1">_xlfn.DISPIMG("ID_73FA1AC43F3D4CB684007F871D903F6E",1)</f>
        <v>#NAME?</v>
      </c>
      <c r="D32" s="19">
        <v>4</v>
      </c>
      <c r="E32" s="23" t="s">
        <v>104</v>
      </c>
      <c r="F32" s="14" t="s">
        <v>15</v>
      </c>
      <c r="G32" s="15" t="s">
        <v>16</v>
      </c>
      <c r="H32" s="15" t="s">
        <v>105</v>
      </c>
      <c r="I32" s="14" t="str">
        <f t="shared" si="2"/>
        <v>BG010014</v>
      </c>
      <c r="J32" s="14">
        <f t="shared" si="0"/>
        <v>4.4800000000000004</v>
      </c>
      <c r="K32" s="14"/>
      <c r="L32" s="14"/>
      <c r="M32" s="16"/>
    </row>
    <row r="33" spans="1:13" ht="148.5">
      <c r="A33" s="18" t="s">
        <v>106</v>
      </c>
      <c r="B33" s="18" t="s">
        <v>107</v>
      </c>
      <c r="C33" s="14" t="e">
        <f ca="1">_xlfn.DISPIMG("ID_7A9714E14CA74D959C81123388429BD9",1)</f>
        <v>#NAME?</v>
      </c>
      <c r="D33" s="19">
        <v>3.43</v>
      </c>
      <c r="E33" s="18" t="s">
        <v>108</v>
      </c>
      <c r="F33" s="14" t="s">
        <v>15</v>
      </c>
      <c r="G33" s="15" t="s">
        <v>16</v>
      </c>
      <c r="H33" s="15" t="s">
        <v>109</v>
      </c>
      <c r="I33" s="14" t="str">
        <f t="shared" si="2"/>
        <v>BG010015</v>
      </c>
      <c r="J33" s="14">
        <f t="shared" si="0"/>
        <v>3.84</v>
      </c>
      <c r="K33" s="14"/>
      <c r="L33" s="14"/>
      <c r="M33" s="16"/>
    </row>
    <row r="34" spans="1:13" ht="148.5">
      <c r="A34" s="18" t="s">
        <v>106</v>
      </c>
      <c r="B34" s="18" t="s">
        <v>110</v>
      </c>
      <c r="C34" s="14" t="e">
        <f ca="1">_xlfn.DISPIMG("ID_D66D98DFA44F47B098D88807067F801E",1)</f>
        <v>#NAME?</v>
      </c>
      <c r="D34" s="19">
        <v>3.43</v>
      </c>
      <c r="E34" s="18" t="s">
        <v>111</v>
      </c>
      <c r="F34" s="14" t="s">
        <v>15</v>
      </c>
      <c r="G34" s="15" t="s">
        <v>16</v>
      </c>
      <c r="H34" s="15" t="s">
        <v>112</v>
      </c>
      <c r="I34" s="14" t="str">
        <f t="shared" si="2"/>
        <v>BG010016</v>
      </c>
      <c r="J34" s="14">
        <f t="shared" si="0"/>
        <v>3.84</v>
      </c>
      <c r="K34" s="14"/>
      <c r="L34" s="14"/>
      <c r="M34" s="16"/>
    </row>
    <row r="35" spans="1:13" ht="148.5">
      <c r="A35" s="18" t="s">
        <v>106</v>
      </c>
      <c r="B35" s="18" t="s">
        <v>113</v>
      </c>
      <c r="C35" s="14" t="e">
        <f ca="1">_xlfn.DISPIMG("ID_A5CCB5D0058941DD92C3D2A0D78483F2",1)</f>
        <v>#NAME?</v>
      </c>
      <c r="D35" s="19">
        <v>3.43</v>
      </c>
      <c r="E35" s="18" t="s">
        <v>114</v>
      </c>
      <c r="F35" s="14" t="s">
        <v>15</v>
      </c>
      <c r="G35" s="15" t="s">
        <v>16</v>
      </c>
      <c r="H35" s="15" t="s">
        <v>115</v>
      </c>
      <c r="I35" s="14" t="str">
        <f t="shared" si="2"/>
        <v>BG010017</v>
      </c>
      <c r="J35" s="14">
        <f t="shared" si="0"/>
        <v>3.84</v>
      </c>
      <c r="K35" s="14"/>
      <c r="L35" s="14"/>
      <c r="M35" s="16"/>
    </row>
    <row r="36" spans="1:13" ht="148.5">
      <c r="A36" s="18" t="s">
        <v>106</v>
      </c>
      <c r="B36" s="18" t="s">
        <v>116</v>
      </c>
      <c r="C36" s="14" t="e">
        <f ca="1">_xlfn.DISPIMG("ID_C1894802FFD240139BB532E69FAA2EBA",1)</f>
        <v>#NAME?</v>
      </c>
      <c r="D36" s="19">
        <v>3.43</v>
      </c>
      <c r="E36" s="18" t="s">
        <v>117</v>
      </c>
      <c r="F36" s="14" t="s">
        <v>15</v>
      </c>
      <c r="G36" s="15" t="s">
        <v>16</v>
      </c>
      <c r="H36" s="15" t="s">
        <v>118</v>
      </c>
      <c r="I36" s="14" t="str">
        <f t="shared" si="2"/>
        <v>BG010018</v>
      </c>
      <c r="J36" s="14">
        <f t="shared" si="0"/>
        <v>3.84</v>
      </c>
      <c r="K36" s="14"/>
      <c r="L36" s="14"/>
      <c r="M36" s="16"/>
    </row>
    <row r="37" spans="1:13" ht="135">
      <c r="A37" s="18" t="s">
        <v>119</v>
      </c>
      <c r="B37" s="18" t="s">
        <v>120</v>
      </c>
      <c r="C37" s="14" t="e">
        <f ca="1">_xlfn.DISPIMG("ID_6DDF38A403044BED908E4DA9856DDFA5",1)</f>
        <v>#NAME?</v>
      </c>
      <c r="D37" s="19">
        <v>4.0999999999999996</v>
      </c>
      <c r="E37" s="18" t="s">
        <v>121</v>
      </c>
      <c r="F37" s="14" t="s">
        <v>15</v>
      </c>
      <c r="G37" s="15" t="s">
        <v>16</v>
      </c>
      <c r="H37" s="15" t="s">
        <v>122</v>
      </c>
      <c r="I37" s="14" t="str">
        <f t="shared" si="2"/>
        <v>BG010019</v>
      </c>
      <c r="J37" s="14">
        <f t="shared" si="0"/>
        <v>4.59</v>
      </c>
      <c r="K37" s="14"/>
      <c r="L37" s="14"/>
      <c r="M37" s="16"/>
    </row>
    <row r="38" spans="1:13" ht="40.5">
      <c r="A38" s="18"/>
      <c r="B38" s="18"/>
      <c r="C38" s="14" t="e">
        <f ca="1">_xlfn.DISPIMG("ID_7B13127FB020488594DD0ACA9AFEF616",1)</f>
        <v>#NAME?</v>
      </c>
      <c r="D38" s="19">
        <f>4.1*2</f>
        <v>8.1999999999999993</v>
      </c>
      <c r="E38" s="10" t="s">
        <v>123</v>
      </c>
      <c r="F38" s="17" t="s">
        <v>19</v>
      </c>
      <c r="G38" s="15" t="s">
        <v>16</v>
      </c>
      <c r="H38" s="15" t="s">
        <v>122</v>
      </c>
      <c r="I38" s="14" t="str">
        <f t="shared" si="2"/>
        <v>T2-BG010019</v>
      </c>
      <c r="J38" s="14">
        <f t="shared" si="0"/>
        <v>9.18</v>
      </c>
      <c r="K38" s="17" t="s">
        <v>124</v>
      </c>
      <c r="L38" s="17" t="s">
        <v>125</v>
      </c>
      <c r="M38" s="16"/>
    </row>
    <row r="39" spans="1:13" ht="175.5">
      <c r="A39" s="10" t="s">
        <v>126</v>
      </c>
      <c r="B39" s="10" t="s">
        <v>127</v>
      </c>
      <c r="C39" s="14" t="e">
        <f ca="1">_xlfn.DISPIMG("ID_C068C6DD13DB49E7832769B7BF42378D",1)</f>
        <v>#NAME?</v>
      </c>
      <c r="D39" s="19">
        <v>4.4000000000000004</v>
      </c>
      <c r="E39" s="10" t="s">
        <v>128</v>
      </c>
      <c r="F39" s="14" t="s">
        <v>15</v>
      </c>
      <c r="G39" s="15" t="s">
        <v>16</v>
      </c>
      <c r="H39" s="15" t="s">
        <v>129</v>
      </c>
      <c r="I39" s="14" t="str">
        <f t="shared" si="2"/>
        <v>BG010020</v>
      </c>
      <c r="J39" s="14">
        <f t="shared" si="0"/>
        <v>4.93</v>
      </c>
      <c r="K39" s="14"/>
      <c r="L39" s="14"/>
      <c r="M39" s="16"/>
    </row>
    <row r="40" spans="1:13" ht="135">
      <c r="A40" s="18" t="s">
        <v>130</v>
      </c>
      <c r="B40" s="18" t="s">
        <v>131</v>
      </c>
      <c r="C40" s="11" t="e">
        <f ca="1">_xlfn.DISPIMG("ID_7915D2B5B31941FAAF0EF26947611F78",1)</f>
        <v>#NAME?</v>
      </c>
      <c r="D40" s="19">
        <v>30.5</v>
      </c>
      <c r="E40" s="18" t="s">
        <v>132</v>
      </c>
      <c r="F40" s="14" t="s">
        <v>15</v>
      </c>
      <c r="G40" s="15" t="s">
        <v>16</v>
      </c>
      <c r="H40" s="15" t="s">
        <v>133</v>
      </c>
      <c r="I40" s="14" t="str">
        <f t="shared" si="2"/>
        <v>BG010021</v>
      </c>
      <c r="J40" s="14">
        <f t="shared" si="0"/>
        <v>34.159999999999997</v>
      </c>
      <c r="K40" s="14"/>
      <c r="L40" s="14"/>
      <c r="M40" s="16"/>
    </row>
    <row r="41" spans="1:13" ht="135">
      <c r="A41" s="18" t="s">
        <v>130</v>
      </c>
      <c r="B41" s="18" t="s">
        <v>134</v>
      </c>
      <c r="C41" s="11" t="e">
        <f ca="1">_xlfn.DISPIMG("ID_D355A78FC5F84ED7B8287A0B7471B23B",1)</f>
        <v>#NAME?</v>
      </c>
      <c r="D41" s="19">
        <v>30.5</v>
      </c>
      <c r="E41" s="18" t="s">
        <v>135</v>
      </c>
      <c r="F41" s="14" t="s">
        <v>15</v>
      </c>
      <c r="G41" s="15" t="s">
        <v>16</v>
      </c>
      <c r="H41" s="15" t="s">
        <v>136</v>
      </c>
      <c r="I41" s="14" t="str">
        <f t="shared" si="2"/>
        <v>BG010022</v>
      </c>
      <c r="J41" s="14">
        <f t="shared" si="0"/>
        <v>34.159999999999997</v>
      </c>
      <c r="K41" s="14"/>
      <c r="L41" s="14"/>
      <c r="M41" s="16"/>
    </row>
    <row r="42" spans="1:13" ht="54">
      <c r="A42" s="10" t="s">
        <v>137</v>
      </c>
      <c r="B42" s="18"/>
      <c r="C42" s="14" t="e">
        <f ca="1">_xlfn.DISPIMG("ID_AB7C23A79CDB4D80844C421C937E7EA2",1)</f>
        <v>#NAME?</v>
      </c>
      <c r="D42" s="19">
        <v>4.7</v>
      </c>
      <c r="E42" s="10" t="s">
        <v>138</v>
      </c>
      <c r="F42" s="14" t="s">
        <v>15</v>
      </c>
      <c r="G42" s="15" t="s">
        <v>16</v>
      </c>
      <c r="H42" s="15" t="s">
        <v>139</v>
      </c>
      <c r="I42" s="14" t="str">
        <f t="shared" si="2"/>
        <v>BG010023</v>
      </c>
      <c r="J42" s="14">
        <f>ROUND(D42*1.05+0.3,2)</f>
        <v>5.24</v>
      </c>
      <c r="K42" s="14">
        <f>ROUND(D42*1.05+0.3,2)</f>
        <v>5.24</v>
      </c>
      <c r="L42" s="14"/>
      <c r="M42" s="16"/>
    </row>
    <row r="43" spans="1:13" ht="57">
      <c r="A43" s="23" t="s">
        <v>137</v>
      </c>
      <c r="B43" s="23"/>
      <c r="C43" s="14" t="e">
        <f ca="1">_xlfn.DISPIMG("ID_2F92E704B6F44CEAAEC41A21BE7A560A",1)</f>
        <v>#NAME?</v>
      </c>
      <c r="D43" s="19">
        <v>3.5</v>
      </c>
      <c r="E43" s="23" t="s">
        <v>140</v>
      </c>
      <c r="F43" s="14" t="s">
        <v>15</v>
      </c>
      <c r="G43" s="15" t="s">
        <v>16</v>
      </c>
      <c r="H43" s="15" t="s">
        <v>141</v>
      </c>
      <c r="I43" s="14" t="str">
        <f t="shared" si="2"/>
        <v>BG010024</v>
      </c>
      <c r="J43" s="14">
        <f t="shared" ref="J43:J51" si="3">ROUND(D43*1.05+0.3,2)</f>
        <v>3.98</v>
      </c>
      <c r="K43" s="14">
        <f t="shared" ref="K43:K51" si="4">ROUND(D43*1.05+0.3,2)</f>
        <v>3.98</v>
      </c>
      <c r="L43" s="14"/>
      <c r="M43" s="16"/>
    </row>
    <row r="44" spans="1:13" ht="57">
      <c r="A44" s="23" t="s">
        <v>137</v>
      </c>
      <c r="B44" s="23"/>
      <c r="C44" s="14" t="e">
        <f ca="1">_xlfn.DISPIMG("ID_A735B1F25EF04BB780AD4F4FE549E1F4",1)</f>
        <v>#NAME?</v>
      </c>
      <c r="D44" s="19">
        <v>4.7</v>
      </c>
      <c r="E44" s="23" t="s">
        <v>142</v>
      </c>
      <c r="F44" s="14" t="s">
        <v>15</v>
      </c>
      <c r="G44" s="15" t="s">
        <v>16</v>
      </c>
      <c r="H44" s="15" t="s">
        <v>143</v>
      </c>
      <c r="I44" s="14" t="str">
        <f t="shared" si="2"/>
        <v>BG010025</v>
      </c>
      <c r="J44" s="14">
        <f t="shared" si="3"/>
        <v>5.24</v>
      </c>
      <c r="K44" s="14">
        <f t="shared" si="4"/>
        <v>5.24</v>
      </c>
      <c r="L44" s="14"/>
      <c r="M44" s="16"/>
    </row>
    <row r="45" spans="1:13" ht="57">
      <c r="A45" s="23" t="s">
        <v>137</v>
      </c>
      <c r="B45" s="23"/>
      <c r="C45" s="14" t="e">
        <f ca="1">_xlfn.DISPIMG("ID_A772ED51982E4576ADDA98521CF344D1",1)</f>
        <v>#NAME?</v>
      </c>
      <c r="D45" s="19">
        <v>3.5</v>
      </c>
      <c r="E45" s="23" t="s">
        <v>144</v>
      </c>
      <c r="F45" s="17" t="s">
        <v>15</v>
      </c>
      <c r="G45" s="20" t="s">
        <v>16</v>
      </c>
      <c r="H45" s="20" t="s">
        <v>145</v>
      </c>
      <c r="I45" s="14" t="str">
        <f t="shared" si="2"/>
        <v>BG010044</v>
      </c>
      <c r="J45" s="14">
        <f t="shared" si="3"/>
        <v>3.98</v>
      </c>
      <c r="K45" s="14">
        <f t="shared" si="4"/>
        <v>3.98</v>
      </c>
      <c r="L45" s="14"/>
      <c r="M45" s="16"/>
    </row>
    <row r="46" spans="1:13" ht="57">
      <c r="A46" s="23" t="s">
        <v>137</v>
      </c>
      <c r="B46" s="23"/>
      <c r="C46" s="14" t="e">
        <f ca="1">_xlfn.DISPIMG("ID_E5E1562A753445E3BAA38C0728B99AA0",1)</f>
        <v>#NAME?</v>
      </c>
      <c r="D46" s="19">
        <v>4.7</v>
      </c>
      <c r="E46" s="23" t="s">
        <v>146</v>
      </c>
      <c r="F46" s="14" t="s">
        <v>15</v>
      </c>
      <c r="G46" s="15" t="s">
        <v>16</v>
      </c>
      <c r="H46" s="15" t="s">
        <v>147</v>
      </c>
      <c r="I46" s="14" t="str">
        <f t="shared" si="2"/>
        <v>BG010026</v>
      </c>
      <c r="J46" s="14">
        <f t="shared" si="3"/>
        <v>5.24</v>
      </c>
      <c r="K46" s="14">
        <f t="shared" si="4"/>
        <v>5.24</v>
      </c>
      <c r="L46" s="14"/>
      <c r="M46" s="16"/>
    </row>
    <row r="47" spans="1:13" ht="57">
      <c r="A47" s="23" t="s">
        <v>137</v>
      </c>
      <c r="B47" s="23"/>
      <c r="C47" s="14" t="e">
        <f ca="1">_xlfn.DISPIMG("ID_455928609F4244A49EFDD80F71762179",1)</f>
        <v>#NAME?</v>
      </c>
      <c r="D47" s="19">
        <v>3.5</v>
      </c>
      <c r="E47" s="23" t="s">
        <v>148</v>
      </c>
      <c r="F47" s="17" t="s">
        <v>15</v>
      </c>
      <c r="G47" s="20" t="s">
        <v>16</v>
      </c>
      <c r="H47" s="20" t="s">
        <v>149</v>
      </c>
      <c r="I47" s="14" t="str">
        <f t="shared" si="2"/>
        <v>BG010045</v>
      </c>
      <c r="J47" s="14">
        <f t="shared" si="3"/>
        <v>3.98</v>
      </c>
      <c r="K47" s="14">
        <f t="shared" si="4"/>
        <v>3.98</v>
      </c>
      <c r="L47" s="14"/>
      <c r="M47" s="16"/>
    </row>
    <row r="48" spans="1:13" ht="57">
      <c r="A48" s="23" t="s">
        <v>137</v>
      </c>
      <c r="B48" s="23"/>
      <c r="C48" s="14" t="e">
        <f ca="1">_xlfn.DISPIMG("ID_FAD619F4310641D79F56C6741A63239C",1)</f>
        <v>#NAME?</v>
      </c>
      <c r="D48" s="19">
        <v>4.7</v>
      </c>
      <c r="E48" s="23" t="s">
        <v>150</v>
      </c>
      <c r="F48" s="14" t="s">
        <v>15</v>
      </c>
      <c r="G48" s="15" t="s">
        <v>16</v>
      </c>
      <c r="H48" s="15" t="s">
        <v>151</v>
      </c>
      <c r="I48" s="14" t="str">
        <f t="shared" si="2"/>
        <v>BG010027</v>
      </c>
      <c r="J48" s="14">
        <f t="shared" si="3"/>
        <v>5.24</v>
      </c>
      <c r="K48" s="14">
        <f t="shared" si="4"/>
        <v>5.24</v>
      </c>
      <c r="L48" s="14"/>
      <c r="M48" s="16"/>
    </row>
    <row r="49" spans="1:13" ht="57">
      <c r="A49" s="23" t="s">
        <v>137</v>
      </c>
      <c r="B49" s="23"/>
      <c r="C49" s="14" t="e">
        <f ca="1">_xlfn.DISPIMG("ID_DC2E19F768154FDE9B1289A9507F03A3",1)</f>
        <v>#NAME?</v>
      </c>
      <c r="D49" s="19">
        <v>3.5</v>
      </c>
      <c r="E49" s="23" t="s">
        <v>152</v>
      </c>
      <c r="F49" s="17" t="s">
        <v>15</v>
      </c>
      <c r="G49" s="20" t="s">
        <v>16</v>
      </c>
      <c r="H49" s="20" t="s">
        <v>153</v>
      </c>
      <c r="I49" s="14" t="str">
        <f t="shared" si="2"/>
        <v>BG010046</v>
      </c>
      <c r="J49" s="14">
        <f t="shared" si="3"/>
        <v>3.98</v>
      </c>
      <c r="K49" s="14">
        <f t="shared" si="4"/>
        <v>3.98</v>
      </c>
      <c r="L49" s="14"/>
      <c r="M49" s="16"/>
    </row>
    <row r="50" spans="1:13" ht="57">
      <c r="A50" s="23" t="s">
        <v>137</v>
      </c>
      <c r="B50" s="23"/>
      <c r="C50" s="14" t="e">
        <f ca="1">_xlfn.DISPIMG("ID_24C2D517CE9C4135B74E1F55387A8170",1)</f>
        <v>#NAME?</v>
      </c>
      <c r="D50" s="19">
        <v>4.7</v>
      </c>
      <c r="E50" s="23" t="s">
        <v>154</v>
      </c>
      <c r="F50" s="14" t="s">
        <v>15</v>
      </c>
      <c r="G50" s="15" t="s">
        <v>16</v>
      </c>
      <c r="H50" s="15" t="s">
        <v>155</v>
      </c>
      <c r="I50" s="14" t="str">
        <f t="shared" si="2"/>
        <v>BG010028</v>
      </c>
      <c r="J50" s="14">
        <f t="shared" si="3"/>
        <v>5.24</v>
      </c>
      <c r="K50" s="14">
        <f t="shared" si="4"/>
        <v>5.24</v>
      </c>
      <c r="L50" s="14"/>
      <c r="M50" s="16"/>
    </row>
    <row r="51" spans="1:13" ht="57">
      <c r="A51" s="23" t="s">
        <v>137</v>
      </c>
      <c r="B51" s="23"/>
      <c r="C51" s="14" t="e">
        <f ca="1">_xlfn.DISPIMG("ID_162E8B9328EB4468966F8902C589C55D",1)</f>
        <v>#NAME?</v>
      </c>
      <c r="D51" s="19">
        <v>3.5</v>
      </c>
      <c r="E51" s="23" t="s">
        <v>156</v>
      </c>
      <c r="F51" s="14" t="s">
        <v>15</v>
      </c>
      <c r="G51" s="15" t="s">
        <v>16</v>
      </c>
      <c r="H51" s="20" t="s">
        <v>157</v>
      </c>
      <c r="I51" s="14" t="str">
        <f t="shared" si="2"/>
        <v>BG010051</v>
      </c>
      <c r="J51" s="14">
        <f t="shared" si="3"/>
        <v>3.98</v>
      </c>
      <c r="K51" s="14">
        <f t="shared" si="4"/>
        <v>3.98</v>
      </c>
      <c r="L51" s="14"/>
      <c r="M51" s="16"/>
    </row>
    <row r="52" spans="1:13" ht="114">
      <c r="A52" s="23" t="s">
        <v>158</v>
      </c>
      <c r="B52" s="23" t="s">
        <v>159</v>
      </c>
      <c r="C52" s="14" t="e">
        <f ca="1">_xlfn.DISPIMG("ID_765CB1E8F7304CBCA78F56F7524E039D",1)</f>
        <v>#NAME?</v>
      </c>
      <c r="D52" s="19">
        <v>4.5999999999999996</v>
      </c>
      <c r="E52" s="23" t="s">
        <v>160</v>
      </c>
      <c r="F52" s="14" t="s">
        <v>15</v>
      </c>
      <c r="G52" s="15" t="s">
        <v>16</v>
      </c>
      <c r="H52" s="15" t="s">
        <v>161</v>
      </c>
      <c r="I52" s="14" t="str">
        <f t="shared" si="2"/>
        <v>BG010029</v>
      </c>
      <c r="J52" s="14">
        <f t="shared" ref="J52:J115" si="5">ROUND(D52*1.12,2)</f>
        <v>5.15</v>
      </c>
      <c r="K52" s="14"/>
      <c r="L52" s="14"/>
      <c r="M52" s="16"/>
    </row>
    <row r="53" spans="1:13" ht="114">
      <c r="A53" s="23"/>
      <c r="B53" s="23" t="s">
        <v>159</v>
      </c>
      <c r="C53" s="14" t="e">
        <f ca="1">_xlfn.DISPIMG("ID_765CB1E8F7304CBCA78F56F7524E039D",1)</f>
        <v>#NAME?</v>
      </c>
      <c r="D53" s="19">
        <f>4.6*2</f>
        <v>9.1999999999999993</v>
      </c>
      <c r="E53" s="23" t="s">
        <v>162</v>
      </c>
      <c r="F53" s="14" t="s">
        <v>15</v>
      </c>
      <c r="G53" s="15" t="s">
        <v>16</v>
      </c>
      <c r="H53" s="20" t="s">
        <v>163</v>
      </c>
      <c r="I53" s="14" t="str">
        <f t="shared" si="2"/>
        <v>BG010086</v>
      </c>
      <c r="J53" s="14">
        <f t="shared" si="5"/>
        <v>10.3</v>
      </c>
      <c r="K53" s="14"/>
      <c r="L53" s="14"/>
      <c r="M53" s="16"/>
    </row>
    <row r="54" spans="1:13" ht="121.5">
      <c r="A54" s="24" t="s">
        <v>164</v>
      </c>
      <c r="B54" s="25" t="s">
        <v>165</v>
      </c>
      <c r="C54" s="14" t="e">
        <f ca="1">_xlfn.DISPIMG("ID_7DF2DAEF046040D0A2C667B502B38A26",1)</f>
        <v>#NAME?</v>
      </c>
      <c r="D54" s="19">
        <v>12.9</v>
      </c>
      <c r="E54" s="23" t="s">
        <v>166</v>
      </c>
      <c r="F54" s="14" t="s">
        <v>15</v>
      </c>
      <c r="G54" s="15" t="s">
        <v>16</v>
      </c>
      <c r="H54" s="15" t="s">
        <v>167</v>
      </c>
      <c r="I54" s="14" t="str">
        <f t="shared" si="2"/>
        <v>BG010030</v>
      </c>
      <c r="J54" s="14">
        <f t="shared" si="5"/>
        <v>14.45</v>
      </c>
      <c r="K54" s="14"/>
      <c r="L54" s="14"/>
      <c r="M54" s="16"/>
    </row>
    <row r="55" spans="1:13" ht="121.5">
      <c r="A55" s="24" t="s">
        <v>164</v>
      </c>
      <c r="B55" s="25" t="s">
        <v>165</v>
      </c>
      <c r="C55" s="14" t="e">
        <f ca="1">_xlfn.DISPIMG("ID_AB1E7C77B17D4EC299104CB4A5F750B1",1)</f>
        <v>#NAME?</v>
      </c>
      <c r="D55" s="19">
        <v>12.9</v>
      </c>
      <c r="E55" s="23" t="s">
        <v>168</v>
      </c>
      <c r="F55" s="14" t="s">
        <v>15</v>
      </c>
      <c r="G55" s="15" t="s">
        <v>16</v>
      </c>
      <c r="H55" s="15" t="s">
        <v>169</v>
      </c>
      <c r="I55" s="14" t="str">
        <f t="shared" si="2"/>
        <v>BG010031</v>
      </c>
      <c r="J55" s="14">
        <f t="shared" si="5"/>
        <v>14.45</v>
      </c>
      <c r="K55" s="14"/>
      <c r="L55" s="14"/>
      <c r="M55" s="16"/>
    </row>
    <row r="56" spans="1:13" ht="121.5">
      <c r="A56" s="24" t="s">
        <v>164</v>
      </c>
      <c r="B56" s="25" t="s">
        <v>165</v>
      </c>
      <c r="C56" s="14" t="e">
        <f ca="1">_xlfn.DISPIMG("ID_E225A40091D04880894E067E7088A083",1)</f>
        <v>#NAME?</v>
      </c>
      <c r="D56" s="19">
        <v>12.9</v>
      </c>
      <c r="E56" s="23" t="s">
        <v>170</v>
      </c>
      <c r="F56" s="14" t="s">
        <v>15</v>
      </c>
      <c r="G56" s="15" t="s">
        <v>16</v>
      </c>
      <c r="H56" s="15" t="s">
        <v>171</v>
      </c>
      <c r="I56" s="14" t="str">
        <f t="shared" si="2"/>
        <v>BG010032</v>
      </c>
      <c r="J56" s="14">
        <f t="shared" si="5"/>
        <v>14.45</v>
      </c>
      <c r="K56" s="14"/>
      <c r="L56" s="14"/>
      <c r="M56" s="16"/>
    </row>
    <row r="57" spans="1:13" ht="121.5">
      <c r="A57" s="24" t="s">
        <v>164</v>
      </c>
      <c r="B57" s="25" t="s">
        <v>165</v>
      </c>
      <c r="C57" s="14" t="e">
        <f ca="1">_xlfn.DISPIMG("ID_C516E4832BA14626A62C75B7A78A9C61",1)</f>
        <v>#NAME?</v>
      </c>
      <c r="D57" s="19">
        <v>12.9</v>
      </c>
      <c r="E57" s="23" t="s">
        <v>172</v>
      </c>
      <c r="F57" s="14" t="s">
        <v>15</v>
      </c>
      <c r="G57" s="15" t="s">
        <v>16</v>
      </c>
      <c r="H57" s="15" t="s">
        <v>173</v>
      </c>
      <c r="I57" s="14" t="str">
        <f t="shared" si="2"/>
        <v>BG010033</v>
      </c>
      <c r="J57" s="14">
        <f t="shared" si="5"/>
        <v>14.45</v>
      </c>
      <c r="K57" s="14"/>
      <c r="L57" s="14"/>
      <c r="M57" s="16"/>
    </row>
    <row r="58" spans="1:13" ht="202.5">
      <c r="A58" s="18" t="s">
        <v>174</v>
      </c>
      <c r="B58" s="26" t="s">
        <v>175</v>
      </c>
      <c r="C58" s="11" t="e">
        <f ca="1">_xlfn.DISPIMG("ID_B81D1721AA6647EB8A4CEA83CD4C342F",1)</f>
        <v>#NAME?</v>
      </c>
      <c r="D58" s="19">
        <v>10.33</v>
      </c>
      <c r="E58" s="10" t="s">
        <v>176</v>
      </c>
      <c r="F58" s="14" t="s">
        <v>15</v>
      </c>
      <c r="G58" s="15" t="s">
        <v>16</v>
      </c>
      <c r="H58" s="15" t="s">
        <v>177</v>
      </c>
      <c r="I58" s="14" t="str">
        <f t="shared" si="2"/>
        <v>BG010034</v>
      </c>
      <c r="J58" s="14">
        <f t="shared" si="5"/>
        <v>11.57</v>
      </c>
      <c r="K58" s="14"/>
      <c r="L58" s="14"/>
      <c r="M58" s="16"/>
    </row>
    <row r="59" spans="1:13" ht="202.5">
      <c r="A59" s="18" t="s">
        <v>174</v>
      </c>
      <c r="B59" s="26" t="s">
        <v>178</v>
      </c>
      <c r="C59" s="11" t="e">
        <f ca="1">_xlfn.DISPIMG("ID_B81D1721AA6647EB8A4CEA83CD4C342F",1)</f>
        <v>#NAME?</v>
      </c>
      <c r="D59" s="19">
        <v>20.67</v>
      </c>
      <c r="E59" s="10" t="s">
        <v>179</v>
      </c>
      <c r="F59" s="14" t="s">
        <v>15</v>
      </c>
      <c r="G59" s="15" t="s">
        <v>16</v>
      </c>
      <c r="H59" s="15" t="s">
        <v>180</v>
      </c>
      <c r="I59" s="14" t="str">
        <f t="shared" si="2"/>
        <v>BG010035</v>
      </c>
      <c r="J59" s="14">
        <f t="shared" si="5"/>
        <v>23.15</v>
      </c>
      <c r="K59" s="14"/>
      <c r="L59" s="14"/>
      <c r="M59" s="16"/>
    </row>
    <row r="60" spans="1:13" ht="148.5">
      <c r="A60" s="18" t="s">
        <v>181</v>
      </c>
      <c r="B60" s="26" t="s">
        <v>182</v>
      </c>
      <c r="C60" s="11" t="e">
        <f ca="1">_xlfn.DISPIMG("ID_FFAB5C04781144008A23147C78267387",1)</f>
        <v>#NAME?</v>
      </c>
      <c r="D60" s="19">
        <v>3.7266666666666666</v>
      </c>
      <c r="E60" s="18" t="s">
        <v>183</v>
      </c>
      <c r="F60" s="14" t="s">
        <v>15</v>
      </c>
      <c r="G60" s="15" t="s">
        <v>16</v>
      </c>
      <c r="H60" s="15" t="s">
        <v>184</v>
      </c>
      <c r="I60" s="14" t="str">
        <f t="shared" si="2"/>
        <v>BG010036</v>
      </c>
      <c r="J60" s="14">
        <f t="shared" si="5"/>
        <v>4.17</v>
      </c>
      <c r="K60" s="14"/>
      <c r="L60" s="14"/>
      <c r="M60" s="16"/>
    </row>
    <row r="61" spans="1:13" ht="135">
      <c r="A61" s="18" t="s">
        <v>181</v>
      </c>
      <c r="B61" s="26" t="s">
        <v>185</v>
      </c>
      <c r="C61" s="11" t="e">
        <f ca="1">_xlfn.DISPIMG("ID_FFAB5C04781144008A23147C78267387",1)</f>
        <v>#NAME?</v>
      </c>
      <c r="D61" s="19">
        <v>3.7266666666666666</v>
      </c>
      <c r="E61" s="18" t="s">
        <v>186</v>
      </c>
      <c r="F61" s="14" t="s">
        <v>15</v>
      </c>
      <c r="G61" s="15" t="s">
        <v>16</v>
      </c>
      <c r="H61" s="15" t="s">
        <v>187</v>
      </c>
      <c r="I61" s="14" t="str">
        <f t="shared" si="2"/>
        <v>BG010037</v>
      </c>
      <c r="J61" s="14">
        <f t="shared" si="5"/>
        <v>4.17</v>
      </c>
      <c r="K61" s="14"/>
      <c r="L61" s="14"/>
      <c r="M61" s="16"/>
    </row>
    <row r="62" spans="1:13" ht="135">
      <c r="A62" s="18" t="s">
        <v>181</v>
      </c>
      <c r="B62" s="26" t="s">
        <v>188</v>
      </c>
      <c r="C62" s="11" t="e">
        <f ca="1">_xlfn.DISPIMG("ID_FFAB5C04781144008A23147C78267387",1)</f>
        <v>#NAME?</v>
      </c>
      <c r="D62" s="19">
        <v>3.7266666666666666</v>
      </c>
      <c r="E62" s="18" t="s">
        <v>189</v>
      </c>
      <c r="F62" s="14" t="s">
        <v>15</v>
      </c>
      <c r="G62" s="15" t="s">
        <v>16</v>
      </c>
      <c r="H62" s="15" t="s">
        <v>190</v>
      </c>
      <c r="I62" s="14" t="str">
        <f t="shared" si="2"/>
        <v>BG010038</v>
      </c>
      <c r="J62" s="14">
        <f t="shared" si="5"/>
        <v>4.17</v>
      </c>
      <c r="K62" s="14"/>
      <c r="L62" s="14"/>
      <c r="M62" s="16"/>
    </row>
    <row r="63" spans="1:13" ht="175.5">
      <c r="A63" s="18" t="s">
        <v>191</v>
      </c>
      <c r="B63" s="18" t="s">
        <v>192</v>
      </c>
      <c r="C63" s="14" t="e">
        <f ca="1">_xlfn.DISPIMG("ID_8DC7F33B046A4CE495473C78C88BADDE",1)</f>
        <v>#NAME?</v>
      </c>
      <c r="D63" s="19">
        <v>33.200000000000003</v>
      </c>
      <c r="E63" s="18" t="s">
        <v>193</v>
      </c>
      <c r="F63" s="14" t="s">
        <v>15</v>
      </c>
      <c r="G63" s="15" t="s">
        <v>16</v>
      </c>
      <c r="H63" s="15" t="s">
        <v>194</v>
      </c>
      <c r="I63" s="14" t="str">
        <f t="shared" si="2"/>
        <v>BG010039</v>
      </c>
      <c r="J63" s="14">
        <f t="shared" si="5"/>
        <v>37.18</v>
      </c>
      <c r="K63" s="14"/>
      <c r="L63" s="14"/>
      <c r="M63" s="16"/>
    </row>
    <row r="64" spans="1:13" ht="189">
      <c r="A64" s="10" t="s">
        <v>195</v>
      </c>
      <c r="B64" s="10" t="s">
        <v>196</v>
      </c>
      <c r="C64" s="14" t="e">
        <f ca="1">_xlfn.DISPIMG("ID_D27FEECCB5954517BA63DEBE90DBD7EF",1)</f>
        <v>#NAME?</v>
      </c>
      <c r="D64" s="19">
        <v>2.96</v>
      </c>
      <c r="E64" s="10" t="s">
        <v>197</v>
      </c>
      <c r="F64" s="14" t="s">
        <v>15</v>
      </c>
      <c r="G64" s="15" t="s">
        <v>16</v>
      </c>
      <c r="H64" s="15" t="s">
        <v>198</v>
      </c>
      <c r="I64" s="14" t="str">
        <f t="shared" si="2"/>
        <v>BG010040</v>
      </c>
      <c r="J64" s="14">
        <f t="shared" si="5"/>
        <v>3.32</v>
      </c>
      <c r="K64" s="14"/>
      <c r="L64" s="14"/>
      <c r="M64" s="16"/>
    </row>
    <row r="65" spans="1:13" ht="189">
      <c r="A65" s="18" t="s">
        <v>195</v>
      </c>
      <c r="B65" s="10" t="s">
        <v>199</v>
      </c>
      <c r="C65" s="14" t="e">
        <f ca="1">_xlfn.DISPIMG("ID_52B7BAB46B6E4231B284970E5FB93C73",1)</f>
        <v>#NAME?</v>
      </c>
      <c r="D65" s="19">
        <v>2.96</v>
      </c>
      <c r="E65" s="10" t="s">
        <v>200</v>
      </c>
      <c r="F65" s="14" t="s">
        <v>15</v>
      </c>
      <c r="G65" s="15" t="s">
        <v>16</v>
      </c>
      <c r="H65" s="15" t="s">
        <v>201</v>
      </c>
      <c r="I65" s="14" t="str">
        <f t="shared" si="2"/>
        <v>BG010041</v>
      </c>
      <c r="J65" s="14">
        <f t="shared" si="5"/>
        <v>3.32</v>
      </c>
      <c r="K65" s="14"/>
      <c r="L65" s="14"/>
      <c r="M65" s="16"/>
    </row>
    <row r="66" spans="1:13" ht="189">
      <c r="A66" s="18" t="s">
        <v>195</v>
      </c>
      <c r="B66" s="10" t="s">
        <v>202</v>
      </c>
      <c r="C66" s="14" t="e">
        <f ca="1">_xlfn.DISPIMG("ID_E5B4F4620FB14DCC8DD648ECD3E2825E",1)</f>
        <v>#NAME?</v>
      </c>
      <c r="D66" s="19">
        <v>2.96</v>
      </c>
      <c r="E66" s="10" t="s">
        <v>203</v>
      </c>
      <c r="F66" s="14" t="s">
        <v>15</v>
      </c>
      <c r="G66" s="15" t="s">
        <v>16</v>
      </c>
      <c r="H66" s="15" t="s">
        <v>204</v>
      </c>
      <c r="I66" s="14" t="str">
        <f t="shared" si="2"/>
        <v>BG010042</v>
      </c>
      <c r="J66" s="14">
        <f t="shared" si="5"/>
        <v>3.32</v>
      </c>
      <c r="K66" s="14"/>
      <c r="L66" s="14"/>
      <c r="M66" s="16"/>
    </row>
    <row r="67" spans="1:13" ht="121.5">
      <c r="A67" s="10" t="s">
        <v>205</v>
      </c>
      <c r="B67" s="18" t="s">
        <v>206</v>
      </c>
      <c r="C67" s="27" t="e">
        <f ca="1">_xlfn.DISPIMG("ID_BA079784B4644FA58356A5659D204EBA",1)</f>
        <v>#NAME?</v>
      </c>
      <c r="D67" s="19">
        <v>5.6</v>
      </c>
      <c r="E67" s="18" t="s">
        <v>207</v>
      </c>
      <c r="F67" s="14" t="s">
        <v>15</v>
      </c>
      <c r="G67" s="15" t="s">
        <v>16</v>
      </c>
      <c r="H67" s="15" t="s">
        <v>208</v>
      </c>
      <c r="I67" s="14" t="str">
        <f t="shared" si="2"/>
        <v>BG010043</v>
      </c>
      <c r="J67" s="14">
        <f t="shared" si="5"/>
        <v>6.27</v>
      </c>
      <c r="K67" s="14"/>
      <c r="L67" s="14"/>
      <c r="M67" s="16"/>
    </row>
    <row r="68" spans="1:13" ht="27">
      <c r="A68" s="24" t="s">
        <v>209</v>
      </c>
      <c r="B68" s="25" t="s">
        <v>210</v>
      </c>
      <c r="C68" s="28" t="e">
        <f ca="1">_xlfn.DISPIMG("ID_3A010E84F218482DB6C7D19919E67BB7",1)</f>
        <v>#NAME?</v>
      </c>
      <c r="D68" s="29">
        <v>5.2</v>
      </c>
      <c r="E68" s="18" t="s">
        <v>210</v>
      </c>
      <c r="F68" s="17" t="s">
        <v>211</v>
      </c>
      <c r="G68" s="20" t="s">
        <v>16</v>
      </c>
      <c r="H68" s="20" t="s">
        <v>198</v>
      </c>
      <c r="I68" s="14" t="str">
        <f t="shared" si="2"/>
        <v>MZ010040</v>
      </c>
      <c r="J68" s="14">
        <f t="shared" si="5"/>
        <v>5.82</v>
      </c>
      <c r="K68" s="14"/>
      <c r="L68" s="14"/>
      <c r="M68" s="16"/>
    </row>
    <row r="69" spans="1:13" ht="27">
      <c r="A69" s="24" t="s">
        <v>209</v>
      </c>
      <c r="B69" s="24" t="s">
        <v>212</v>
      </c>
      <c r="C69" s="28" t="e">
        <f ca="1">_xlfn.DISPIMG("ID_3A010E84F218482DB6C7D19919E67BB7",1)</f>
        <v>#NAME?</v>
      </c>
      <c r="D69" s="29">
        <v>5.05</v>
      </c>
      <c r="E69" s="10" t="s">
        <v>212</v>
      </c>
      <c r="F69" s="17" t="s">
        <v>211</v>
      </c>
      <c r="G69" s="20" t="s">
        <v>16</v>
      </c>
      <c r="H69" s="20" t="s">
        <v>76</v>
      </c>
      <c r="I69" s="14" t="str">
        <f t="shared" si="2"/>
        <v>MZ010048</v>
      </c>
      <c r="J69" s="14">
        <f t="shared" si="5"/>
        <v>5.66</v>
      </c>
      <c r="K69" s="14"/>
      <c r="L69" s="14"/>
      <c r="M69" s="16"/>
    </row>
    <row r="70" spans="1:13" ht="27">
      <c r="A70" s="24" t="s">
        <v>209</v>
      </c>
      <c r="B70" s="24" t="s">
        <v>213</v>
      </c>
      <c r="C70" s="28" t="e">
        <f ca="1">_xlfn.DISPIMG("ID_3A010E84F218482DB6C7D19919E67BB7",1)</f>
        <v>#NAME?</v>
      </c>
      <c r="D70" s="29">
        <v>5.36</v>
      </c>
      <c r="E70" s="10" t="s">
        <v>213</v>
      </c>
      <c r="F70" s="17" t="s">
        <v>211</v>
      </c>
      <c r="G70" s="20" t="s">
        <v>16</v>
      </c>
      <c r="H70" s="20" t="s">
        <v>79</v>
      </c>
      <c r="I70" s="14" t="str">
        <f t="shared" si="2"/>
        <v>MZ010049</v>
      </c>
      <c r="J70" s="14">
        <f t="shared" si="5"/>
        <v>6</v>
      </c>
      <c r="K70" s="14"/>
      <c r="L70" s="14"/>
      <c r="M70" s="16"/>
    </row>
    <row r="71" spans="1:13" ht="27">
      <c r="A71" s="24" t="s">
        <v>209</v>
      </c>
      <c r="B71" s="18" t="s">
        <v>214</v>
      </c>
      <c r="C71" s="28" t="e">
        <f ca="1">_xlfn.DISPIMG("ID_876EFA050F94481FA6E579EEB66C4D56",1)</f>
        <v>#NAME?</v>
      </c>
      <c r="D71" s="29">
        <v>4.92</v>
      </c>
      <c r="E71" s="18" t="s">
        <v>214</v>
      </c>
      <c r="F71" s="17" t="s">
        <v>211</v>
      </c>
      <c r="G71" s="15" t="s">
        <v>16</v>
      </c>
      <c r="H71" s="20" t="s">
        <v>201</v>
      </c>
      <c r="I71" s="14" t="str">
        <f t="shared" si="2"/>
        <v>MZ010041</v>
      </c>
      <c r="J71" s="14">
        <f t="shared" si="5"/>
        <v>5.51</v>
      </c>
      <c r="K71" s="14"/>
      <c r="L71" s="14"/>
      <c r="M71" s="16"/>
    </row>
    <row r="72" spans="1:13" ht="27">
      <c r="A72" s="24" t="s">
        <v>209</v>
      </c>
      <c r="B72" s="24" t="s">
        <v>215</v>
      </c>
      <c r="C72" s="28" t="e">
        <f ca="1">_xlfn.DISPIMG("ID_876EFA050F94481FA6E579EEB66C4D56",1)</f>
        <v>#NAME?</v>
      </c>
      <c r="D72" s="29">
        <v>4.8</v>
      </c>
      <c r="E72" s="10" t="s">
        <v>215</v>
      </c>
      <c r="F72" s="17" t="s">
        <v>211</v>
      </c>
      <c r="G72" s="15" t="s">
        <v>16</v>
      </c>
      <c r="H72" s="20" t="s">
        <v>153</v>
      </c>
      <c r="I72" s="14" t="str">
        <f t="shared" si="2"/>
        <v>MZ010046</v>
      </c>
      <c r="J72" s="14">
        <f t="shared" si="5"/>
        <v>5.38</v>
      </c>
      <c r="K72" s="14"/>
      <c r="L72" s="14"/>
      <c r="M72" s="16"/>
    </row>
    <row r="73" spans="1:13" ht="27">
      <c r="A73" s="24" t="s">
        <v>209</v>
      </c>
      <c r="B73" s="24" t="s">
        <v>216</v>
      </c>
      <c r="C73" s="28" t="e">
        <f ca="1">_xlfn.DISPIMG("ID_876EFA050F94481FA6E579EEB66C4D56",1)</f>
        <v>#NAME?</v>
      </c>
      <c r="D73" s="29">
        <v>5.15</v>
      </c>
      <c r="E73" s="10" t="s">
        <v>216</v>
      </c>
      <c r="F73" s="17" t="s">
        <v>211</v>
      </c>
      <c r="G73" s="15" t="s">
        <v>16</v>
      </c>
      <c r="H73" s="20" t="s">
        <v>73</v>
      </c>
      <c r="I73" s="14" t="str">
        <f t="shared" si="2"/>
        <v>MZ010047</v>
      </c>
      <c r="J73" s="14">
        <f t="shared" si="5"/>
        <v>5.77</v>
      </c>
      <c r="K73" s="14"/>
      <c r="L73" s="14"/>
      <c r="M73" s="16"/>
    </row>
    <row r="74" spans="1:13" ht="27">
      <c r="A74" s="24" t="s">
        <v>209</v>
      </c>
      <c r="B74" s="30" t="s">
        <v>217</v>
      </c>
      <c r="C74" s="31" t="e">
        <f ca="1">_xlfn.DISPIMG("ID_98829C2D6FBF4C96A2597F2CBD03020F",1)</f>
        <v>#NAME?</v>
      </c>
      <c r="D74" s="19">
        <v>3</v>
      </c>
      <c r="E74" s="30" t="s">
        <v>217</v>
      </c>
      <c r="F74" s="14" t="s">
        <v>15</v>
      </c>
      <c r="G74" s="15" t="s">
        <v>218</v>
      </c>
      <c r="H74" s="15" t="s">
        <v>17</v>
      </c>
      <c r="I74" s="14" t="str">
        <f t="shared" si="2"/>
        <v>BG020001</v>
      </c>
      <c r="J74" s="14">
        <f t="shared" si="5"/>
        <v>3.36</v>
      </c>
      <c r="K74" s="14"/>
      <c r="L74" s="14"/>
      <c r="M74" s="16"/>
    </row>
    <row r="75" spans="1:13" ht="27">
      <c r="A75" s="24" t="s">
        <v>209</v>
      </c>
      <c r="B75" s="30" t="s">
        <v>219</v>
      </c>
      <c r="C75" s="31" t="e">
        <f ca="1">_xlfn.DISPIMG("ID_98829C2D6FBF4C96A2597F2CBD03020F",1)</f>
        <v>#NAME?</v>
      </c>
      <c r="D75" s="19">
        <v>3</v>
      </c>
      <c r="E75" s="30" t="s">
        <v>219</v>
      </c>
      <c r="F75" s="14" t="s">
        <v>15</v>
      </c>
      <c r="G75" s="15" t="s">
        <v>218</v>
      </c>
      <c r="H75" s="15" t="s">
        <v>23</v>
      </c>
      <c r="I75" s="14" t="str">
        <f t="shared" si="2"/>
        <v>BG020002</v>
      </c>
      <c r="J75" s="14">
        <f t="shared" si="5"/>
        <v>3.36</v>
      </c>
      <c r="K75" s="14"/>
      <c r="L75" s="14"/>
      <c r="M75" s="16"/>
    </row>
    <row r="76" spans="1:13" ht="27">
      <c r="A76" s="24" t="s">
        <v>209</v>
      </c>
      <c r="B76" s="30" t="s">
        <v>220</v>
      </c>
      <c r="C76" s="31" t="e">
        <f ca="1">_xlfn.DISPIMG("ID_98829C2D6FBF4C96A2597F2CBD03020F",1)</f>
        <v>#NAME?</v>
      </c>
      <c r="D76" s="19">
        <v>3</v>
      </c>
      <c r="E76" s="30" t="s">
        <v>220</v>
      </c>
      <c r="F76" s="14" t="s">
        <v>15</v>
      </c>
      <c r="G76" s="15" t="s">
        <v>218</v>
      </c>
      <c r="H76" s="15" t="s">
        <v>26</v>
      </c>
      <c r="I76" s="14" t="str">
        <f t="shared" si="2"/>
        <v>BG020003</v>
      </c>
      <c r="J76" s="14">
        <f t="shared" si="5"/>
        <v>3.36</v>
      </c>
      <c r="K76" s="14"/>
      <c r="L76" s="14"/>
      <c r="M76" s="16"/>
    </row>
    <row r="77" spans="1:13" ht="27">
      <c r="A77" s="24" t="s">
        <v>209</v>
      </c>
      <c r="B77" s="30" t="s">
        <v>221</v>
      </c>
      <c r="C77" s="31" t="e">
        <f ca="1">_xlfn.DISPIMG("ID_98829C2D6FBF4C96A2597F2CBD03020F",1)</f>
        <v>#NAME?</v>
      </c>
      <c r="D77" s="19">
        <v>3</v>
      </c>
      <c r="E77" s="30" t="s">
        <v>221</v>
      </c>
      <c r="F77" s="14" t="s">
        <v>15</v>
      </c>
      <c r="G77" s="15" t="s">
        <v>218</v>
      </c>
      <c r="H77" s="15" t="s">
        <v>29</v>
      </c>
      <c r="I77" s="14" t="str">
        <f t="shared" si="2"/>
        <v>BG020004</v>
      </c>
      <c r="J77" s="14">
        <f t="shared" si="5"/>
        <v>3.36</v>
      </c>
      <c r="K77" s="14"/>
      <c r="L77" s="14"/>
      <c r="M77" s="16"/>
    </row>
    <row r="78" spans="1:13" ht="148.5">
      <c r="A78" s="10" t="s">
        <v>222</v>
      </c>
      <c r="B78" s="26" t="s">
        <v>223</v>
      </c>
      <c r="C78" s="11" t="e">
        <f ca="1">_xlfn.DISPIMG("ID_6A79C56C624E489CB750E6A50B9EFB62",1)</f>
        <v>#NAME?</v>
      </c>
      <c r="D78" s="19">
        <v>1.1875</v>
      </c>
      <c r="E78" s="18" t="s">
        <v>224</v>
      </c>
      <c r="F78" s="14" t="s">
        <v>15</v>
      </c>
      <c r="G78" s="15" t="s">
        <v>218</v>
      </c>
      <c r="H78" s="15" t="s">
        <v>42</v>
      </c>
      <c r="I78" s="14" t="str">
        <f t="shared" si="2"/>
        <v>BG020005</v>
      </c>
      <c r="J78" s="14">
        <f t="shared" si="5"/>
        <v>1.33</v>
      </c>
      <c r="K78" s="14"/>
      <c r="L78" s="14"/>
      <c r="M78" s="16"/>
    </row>
    <row r="79" spans="1:13" ht="148.5">
      <c r="A79" s="10" t="s">
        <v>222</v>
      </c>
      <c r="B79" s="26" t="s">
        <v>225</v>
      </c>
      <c r="C79" s="11" t="e">
        <f ca="1">_xlfn.DISPIMG("ID_31A783DCEF2A43B58E25E2EE04B61E08",1)</f>
        <v>#NAME?</v>
      </c>
      <c r="D79" s="19">
        <v>1.1875</v>
      </c>
      <c r="E79" s="18" t="s">
        <v>226</v>
      </c>
      <c r="F79" s="14" t="s">
        <v>15</v>
      </c>
      <c r="G79" s="15" t="s">
        <v>218</v>
      </c>
      <c r="H79" s="15" t="s">
        <v>45</v>
      </c>
      <c r="I79" s="14" t="str">
        <f t="shared" si="2"/>
        <v>BG020006</v>
      </c>
      <c r="J79" s="14">
        <f t="shared" si="5"/>
        <v>1.33</v>
      </c>
      <c r="K79" s="14"/>
      <c r="L79" s="14"/>
      <c r="M79" s="16"/>
    </row>
    <row r="80" spans="1:13" ht="148.5">
      <c r="A80" s="10" t="s">
        <v>222</v>
      </c>
      <c r="B80" s="26" t="s">
        <v>227</v>
      </c>
      <c r="C80" s="11" t="e">
        <f ca="1">_xlfn.DISPIMG("ID_BDF3068AB0FE4546B87DE109BF307069",1)</f>
        <v>#NAME?</v>
      </c>
      <c r="D80" s="19">
        <v>1.1875</v>
      </c>
      <c r="E80" s="18" t="s">
        <v>228</v>
      </c>
      <c r="F80" s="14" t="s">
        <v>15</v>
      </c>
      <c r="G80" s="15" t="s">
        <v>218</v>
      </c>
      <c r="H80" s="15" t="s">
        <v>48</v>
      </c>
      <c r="I80" s="14" t="str">
        <f t="shared" si="2"/>
        <v>BG020007</v>
      </c>
      <c r="J80" s="14">
        <f t="shared" si="5"/>
        <v>1.33</v>
      </c>
      <c r="K80" s="14"/>
      <c r="L80" s="14"/>
      <c r="M80" s="16"/>
    </row>
    <row r="81" spans="1:13" ht="148.5">
      <c r="A81" s="10" t="s">
        <v>222</v>
      </c>
      <c r="B81" s="26" t="s">
        <v>229</v>
      </c>
      <c r="C81" s="11" t="e">
        <f ca="1">_xlfn.DISPIMG("ID_ED79631E9F1F4BFC81C8CC160533B4EA",1)</f>
        <v>#NAME?</v>
      </c>
      <c r="D81" s="19">
        <v>1.1875</v>
      </c>
      <c r="E81" s="18" t="s">
        <v>230</v>
      </c>
      <c r="F81" s="14" t="s">
        <v>15</v>
      </c>
      <c r="G81" s="15" t="s">
        <v>218</v>
      </c>
      <c r="H81" s="15" t="s">
        <v>51</v>
      </c>
      <c r="I81" s="14" t="str">
        <f t="shared" si="2"/>
        <v>BG020008</v>
      </c>
      <c r="J81" s="14">
        <f t="shared" si="5"/>
        <v>1.33</v>
      </c>
      <c r="K81" s="14"/>
      <c r="L81" s="14"/>
      <c r="M81" s="16"/>
    </row>
    <row r="82" spans="1:13" ht="135">
      <c r="A82" s="18" t="s">
        <v>231</v>
      </c>
      <c r="B82" s="18" t="s">
        <v>232</v>
      </c>
      <c r="C82" s="14" t="e">
        <f ca="1">_xlfn.DISPIMG("ID_FE0C5EE713364BFE8D2B37901CAB2615",1)</f>
        <v>#NAME?</v>
      </c>
      <c r="D82" s="19">
        <v>4.1399999999999997</v>
      </c>
      <c r="E82" s="18" t="s">
        <v>233</v>
      </c>
      <c r="F82" s="14" t="s">
        <v>15</v>
      </c>
      <c r="G82" s="15" t="s">
        <v>218</v>
      </c>
      <c r="H82" s="15" t="s">
        <v>55</v>
      </c>
      <c r="I82" s="14" t="str">
        <f t="shared" si="2"/>
        <v>BG020009</v>
      </c>
      <c r="J82" s="14">
        <f t="shared" si="5"/>
        <v>4.6399999999999997</v>
      </c>
      <c r="K82" s="14"/>
      <c r="L82" s="14"/>
      <c r="M82" s="16"/>
    </row>
    <row r="83" spans="1:13" ht="135">
      <c r="A83" s="18" t="s">
        <v>231</v>
      </c>
      <c r="B83" s="18" t="s">
        <v>234</v>
      </c>
      <c r="C83" s="14" t="e">
        <f ca="1">_xlfn.DISPIMG("ID_D49CFBC49A6C4C96A06179E52228E749",1)</f>
        <v>#NAME?</v>
      </c>
      <c r="D83" s="19">
        <v>4.05</v>
      </c>
      <c r="E83" s="18" t="s">
        <v>235</v>
      </c>
      <c r="F83" s="14" t="s">
        <v>15</v>
      </c>
      <c r="G83" s="15" t="s">
        <v>218</v>
      </c>
      <c r="H83" s="15" t="s">
        <v>91</v>
      </c>
      <c r="I83" s="14" t="str">
        <f t="shared" si="2"/>
        <v>BG020010</v>
      </c>
      <c r="J83" s="14">
        <f t="shared" si="5"/>
        <v>4.54</v>
      </c>
      <c r="K83" s="14"/>
      <c r="L83" s="14"/>
      <c r="M83" s="16"/>
    </row>
    <row r="84" spans="1:13" ht="135">
      <c r="A84" s="18" t="s">
        <v>231</v>
      </c>
      <c r="B84" s="18" t="s">
        <v>236</v>
      </c>
      <c r="C84" s="14" t="e">
        <f ca="1">_xlfn.DISPIMG("ID_EC19D8FE7B5E4ACD93B0D7B5E6FDD49F",1)</f>
        <v>#NAME?</v>
      </c>
      <c r="D84" s="19">
        <v>4.1399999999999997</v>
      </c>
      <c r="E84" s="18" t="s">
        <v>237</v>
      </c>
      <c r="F84" s="14" t="s">
        <v>15</v>
      </c>
      <c r="G84" s="15" t="s">
        <v>218</v>
      </c>
      <c r="H84" s="15" t="s">
        <v>95</v>
      </c>
      <c r="I84" s="14" t="str">
        <f t="shared" si="2"/>
        <v>BG020011</v>
      </c>
      <c r="J84" s="14">
        <f t="shared" si="5"/>
        <v>4.6399999999999997</v>
      </c>
      <c r="K84" s="14"/>
      <c r="L84" s="14"/>
      <c r="M84" s="16"/>
    </row>
    <row r="85" spans="1:13" ht="135">
      <c r="A85" s="18" t="s">
        <v>231</v>
      </c>
      <c r="B85" s="18" t="s">
        <v>238</v>
      </c>
      <c r="C85" s="14" t="e">
        <f ca="1">_xlfn.DISPIMG("ID_93C11E064FAB4B2FBDF970387BDBA539",1)</f>
        <v>#NAME?</v>
      </c>
      <c r="D85" s="19">
        <v>4.05</v>
      </c>
      <c r="E85" s="18" t="s">
        <v>239</v>
      </c>
      <c r="F85" s="14" t="s">
        <v>15</v>
      </c>
      <c r="G85" s="15" t="s">
        <v>218</v>
      </c>
      <c r="H85" s="15" t="s">
        <v>98</v>
      </c>
      <c r="I85" s="14" t="str">
        <f t="shared" ref="I85:I148" si="6">F85&amp;G85&amp;H85</f>
        <v>BG020012</v>
      </c>
      <c r="J85" s="14">
        <f t="shared" si="5"/>
        <v>4.54</v>
      </c>
      <c r="K85" s="14"/>
      <c r="L85" s="14"/>
      <c r="M85" s="16"/>
    </row>
    <row r="86" spans="1:13" ht="135">
      <c r="A86" s="18" t="s">
        <v>231</v>
      </c>
      <c r="B86" s="18" t="s">
        <v>240</v>
      </c>
      <c r="C86" s="14" t="e">
        <f ca="1">_xlfn.DISPIMG("ID_DFD033CC9206487B919195A79379BE27",1)</f>
        <v>#NAME?</v>
      </c>
      <c r="D86" s="19">
        <v>4.05</v>
      </c>
      <c r="E86" s="18" t="s">
        <v>241</v>
      </c>
      <c r="F86" s="14" t="s">
        <v>15</v>
      </c>
      <c r="G86" s="15" t="s">
        <v>218</v>
      </c>
      <c r="H86" s="15" t="s">
        <v>101</v>
      </c>
      <c r="I86" s="14" t="str">
        <f t="shared" si="6"/>
        <v>BG020013</v>
      </c>
      <c r="J86" s="14">
        <f t="shared" si="5"/>
        <v>4.54</v>
      </c>
      <c r="K86" s="14"/>
      <c r="L86" s="14"/>
      <c r="M86" s="16"/>
    </row>
    <row r="87" spans="1:13" ht="148.5">
      <c r="A87" s="18" t="s">
        <v>231</v>
      </c>
      <c r="B87" s="18" t="s">
        <v>242</v>
      </c>
      <c r="C87" s="14" t="e">
        <f ca="1">_xlfn.DISPIMG("ID_C71327E83A54464D836AEA1D443F4110",1)</f>
        <v>#NAME?</v>
      </c>
      <c r="D87" s="19">
        <v>4.05</v>
      </c>
      <c r="E87" s="18" t="s">
        <v>243</v>
      </c>
      <c r="F87" s="14" t="s">
        <v>15</v>
      </c>
      <c r="G87" s="15" t="s">
        <v>218</v>
      </c>
      <c r="H87" s="15" t="s">
        <v>105</v>
      </c>
      <c r="I87" s="14" t="str">
        <f t="shared" si="6"/>
        <v>BG020014</v>
      </c>
      <c r="J87" s="14">
        <f t="shared" si="5"/>
        <v>4.54</v>
      </c>
      <c r="K87" s="14"/>
      <c r="L87" s="14"/>
      <c r="M87" s="16"/>
    </row>
    <row r="88" spans="1:13" ht="148.5">
      <c r="A88" s="18" t="s">
        <v>231</v>
      </c>
      <c r="B88" s="10" t="s">
        <v>244</v>
      </c>
      <c r="C88" s="14" t="e">
        <f ca="1">_xlfn.DISPIMG("ID_D81F58AA03F6407EB6C1F98B4B00AC2C",1)</f>
        <v>#NAME?</v>
      </c>
      <c r="D88" s="19">
        <v>4.05</v>
      </c>
      <c r="E88" s="10" t="s">
        <v>245</v>
      </c>
      <c r="F88" s="14" t="s">
        <v>15</v>
      </c>
      <c r="G88" s="15" t="s">
        <v>218</v>
      </c>
      <c r="H88" s="20" t="s">
        <v>133</v>
      </c>
      <c r="I88" s="14" t="str">
        <f t="shared" si="6"/>
        <v>BG020021</v>
      </c>
      <c r="J88" s="14">
        <f t="shared" si="5"/>
        <v>4.54</v>
      </c>
      <c r="K88" s="14"/>
      <c r="L88" s="14"/>
      <c r="M88" s="16"/>
    </row>
    <row r="89" spans="1:13" ht="148.5">
      <c r="A89" s="18" t="s">
        <v>231</v>
      </c>
      <c r="B89" s="10" t="s">
        <v>246</v>
      </c>
      <c r="C89" s="14" t="e">
        <f ca="1">_xlfn.DISPIMG("ID_3FA69EFB299545F6BD6278698A6A224C",1)</f>
        <v>#NAME?</v>
      </c>
      <c r="D89" s="19">
        <v>4.05</v>
      </c>
      <c r="E89" s="10" t="s">
        <v>247</v>
      </c>
      <c r="F89" s="14" t="s">
        <v>15</v>
      </c>
      <c r="G89" s="15" t="s">
        <v>218</v>
      </c>
      <c r="H89" s="20" t="s">
        <v>136</v>
      </c>
      <c r="I89" s="14" t="str">
        <f t="shared" si="6"/>
        <v>BG020022</v>
      </c>
      <c r="J89" s="14">
        <f t="shared" si="5"/>
        <v>4.54</v>
      </c>
      <c r="K89" s="14"/>
      <c r="L89" s="14"/>
      <c r="M89" s="16"/>
    </row>
    <row r="90" spans="1:13" ht="135">
      <c r="A90" s="18" t="s">
        <v>231</v>
      </c>
      <c r="B90" s="18" t="s">
        <v>248</v>
      </c>
      <c r="C90" s="14" t="e">
        <f ca="1">_xlfn.DISPIMG("ID_D051758F539744CA9521D594AB991766",1)</f>
        <v>#NAME?</v>
      </c>
      <c r="D90" s="19">
        <v>4.05</v>
      </c>
      <c r="E90" s="18" t="s">
        <v>249</v>
      </c>
      <c r="F90" s="14" t="s">
        <v>15</v>
      </c>
      <c r="G90" s="15" t="s">
        <v>218</v>
      </c>
      <c r="H90" s="15" t="s">
        <v>109</v>
      </c>
      <c r="I90" s="14" t="str">
        <f t="shared" si="6"/>
        <v>BG020015</v>
      </c>
      <c r="J90" s="14">
        <f t="shared" si="5"/>
        <v>4.54</v>
      </c>
      <c r="K90" s="14"/>
      <c r="L90" s="14"/>
      <c r="M90" s="16"/>
    </row>
    <row r="91" spans="1:13" ht="148.5">
      <c r="A91" s="24" t="s">
        <v>209</v>
      </c>
      <c r="B91" s="18" t="s">
        <v>250</v>
      </c>
      <c r="C91" s="27" t="e">
        <f ca="1">_xlfn.DISPIMG("ID_EE4705C099EC4D5EA335713E6C3942B4",1)</f>
        <v>#NAME?</v>
      </c>
      <c r="D91" s="19">
        <v>1.2</v>
      </c>
      <c r="E91" s="18" t="s">
        <v>251</v>
      </c>
      <c r="F91" s="14" t="s">
        <v>15</v>
      </c>
      <c r="G91" s="15" t="s">
        <v>218</v>
      </c>
      <c r="H91" s="15" t="s">
        <v>112</v>
      </c>
      <c r="I91" s="14" t="str">
        <f t="shared" si="6"/>
        <v>BG020016</v>
      </c>
      <c r="J91" s="14">
        <f t="shared" si="5"/>
        <v>1.34</v>
      </c>
      <c r="K91" s="14"/>
      <c r="L91" s="14"/>
      <c r="M91" s="16"/>
    </row>
    <row r="92" spans="1:13" ht="148.5">
      <c r="A92" s="24" t="s">
        <v>209</v>
      </c>
      <c r="B92" s="18" t="s">
        <v>252</v>
      </c>
      <c r="C92" s="27" t="e">
        <f ca="1">_xlfn.DISPIMG("ID_EE4705C099EC4D5EA335713E6C3942B4",1)</f>
        <v>#NAME?</v>
      </c>
      <c r="D92" s="19">
        <v>1.2</v>
      </c>
      <c r="E92" s="18" t="s">
        <v>253</v>
      </c>
      <c r="F92" s="14" t="s">
        <v>15</v>
      </c>
      <c r="G92" s="15" t="s">
        <v>218</v>
      </c>
      <c r="H92" s="15" t="s">
        <v>115</v>
      </c>
      <c r="I92" s="14" t="str">
        <f t="shared" si="6"/>
        <v>BG020017</v>
      </c>
      <c r="J92" s="14">
        <f t="shared" si="5"/>
        <v>1.34</v>
      </c>
      <c r="K92" s="14"/>
      <c r="L92" s="14"/>
      <c r="M92" s="16"/>
    </row>
    <row r="93" spans="1:13" ht="148.5">
      <c r="A93" s="24" t="s">
        <v>209</v>
      </c>
      <c r="B93" s="18" t="s">
        <v>254</v>
      </c>
      <c r="C93" s="27" t="e">
        <f ca="1">_xlfn.DISPIMG("ID_EE4705C099EC4D5EA335713E6C3942B4",1)</f>
        <v>#NAME?</v>
      </c>
      <c r="D93" s="19">
        <v>1.2</v>
      </c>
      <c r="E93" s="18" t="s">
        <v>255</v>
      </c>
      <c r="F93" s="14" t="s">
        <v>15</v>
      </c>
      <c r="G93" s="15" t="s">
        <v>218</v>
      </c>
      <c r="H93" s="15" t="s">
        <v>118</v>
      </c>
      <c r="I93" s="14" t="str">
        <f t="shared" si="6"/>
        <v>BG020018</v>
      </c>
      <c r="J93" s="14">
        <f t="shared" si="5"/>
        <v>1.34</v>
      </c>
      <c r="K93" s="14"/>
      <c r="L93" s="14"/>
      <c r="M93" s="16"/>
    </row>
    <row r="94" spans="1:13" ht="148.5">
      <c r="A94" s="24" t="s">
        <v>209</v>
      </c>
      <c r="B94" s="18" t="s">
        <v>254</v>
      </c>
      <c r="C94" s="27" t="e">
        <f ca="1">_xlfn.DISPIMG("ID_EE4705C099EC4D5EA335713E6C3942B4",1)</f>
        <v>#NAME?</v>
      </c>
      <c r="D94" s="19">
        <v>1.2</v>
      </c>
      <c r="E94" s="10" t="s">
        <v>256</v>
      </c>
      <c r="F94" s="14" t="s">
        <v>15</v>
      </c>
      <c r="G94" s="15" t="s">
        <v>218</v>
      </c>
      <c r="H94" s="20" t="s">
        <v>122</v>
      </c>
      <c r="I94" s="14" t="str">
        <f t="shared" si="6"/>
        <v>BG020019</v>
      </c>
      <c r="J94" s="14">
        <f t="shared" si="5"/>
        <v>1.34</v>
      </c>
      <c r="K94" s="14"/>
      <c r="L94" s="14"/>
      <c r="M94" s="16"/>
    </row>
    <row r="95" spans="1:13" ht="148.5">
      <c r="A95" s="24" t="s">
        <v>209</v>
      </c>
      <c r="B95" s="18" t="s">
        <v>254</v>
      </c>
      <c r="C95" s="27" t="e">
        <f ca="1">_xlfn.DISPIMG("ID_EE4705C099EC4D5EA335713E6C3942B4",1)</f>
        <v>#NAME?</v>
      </c>
      <c r="D95" s="19">
        <f>1.2*4</f>
        <v>4.8</v>
      </c>
      <c r="E95" s="10" t="s">
        <v>257</v>
      </c>
      <c r="F95" s="14" t="s">
        <v>15</v>
      </c>
      <c r="G95" s="15" t="s">
        <v>218</v>
      </c>
      <c r="H95" s="20" t="s">
        <v>129</v>
      </c>
      <c r="I95" s="14" t="str">
        <f t="shared" si="6"/>
        <v>BG020020</v>
      </c>
      <c r="J95" s="14">
        <f t="shared" si="5"/>
        <v>5.38</v>
      </c>
      <c r="K95" s="14"/>
      <c r="L95" s="14"/>
      <c r="M95" s="16"/>
    </row>
    <row r="96" spans="1:13" ht="135">
      <c r="A96" s="10" t="s">
        <v>258</v>
      </c>
      <c r="B96" s="10" t="s">
        <v>259</v>
      </c>
      <c r="C96" s="14" t="e">
        <f ca="1">_xlfn.DISPIMG("ID_0FE2BC0B72DA4E9091E99AE963510D59",1)</f>
        <v>#NAME?</v>
      </c>
      <c r="D96" s="19">
        <v>1.45</v>
      </c>
      <c r="E96" s="10" t="s">
        <v>260</v>
      </c>
      <c r="F96" s="14" t="s">
        <v>261</v>
      </c>
      <c r="G96" s="15" t="s">
        <v>16</v>
      </c>
      <c r="H96" s="15" t="s">
        <v>17</v>
      </c>
      <c r="I96" s="14" t="str">
        <f t="shared" si="6"/>
        <v>CJ010001</v>
      </c>
      <c r="J96" s="14">
        <f t="shared" si="5"/>
        <v>1.62</v>
      </c>
      <c r="K96" s="14"/>
      <c r="L96" s="14"/>
      <c r="M96" s="16"/>
    </row>
    <row r="97" spans="1:13" ht="135">
      <c r="A97" s="10" t="s">
        <v>258</v>
      </c>
      <c r="B97" s="10" t="s">
        <v>262</v>
      </c>
      <c r="C97" s="14" t="e">
        <f ca="1">_xlfn.DISPIMG("ID_D1DF93D766DF454A97CF4715E262980C",1)</f>
        <v>#NAME?</v>
      </c>
      <c r="D97" s="19">
        <v>1.45</v>
      </c>
      <c r="E97" s="10" t="s">
        <v>263</v>
      </c>
      <c r="F97" s="14" t="s">
        <v>261</v>
      </c>
      <c r="G97" s="15" t="s">
        <v>16</v>
      </c>
      <c r="H97" s="15" t="s">
        <v>23</v>
      </c>
      <c r="I97" s="14" t="str">
        <f t="shared" si="6"/>
        <v>CJ010002</v>
      </c>
      <c r="J97" s="14">
        <f t="shared" si="5"/>
        <v>1.62</v>
      </c>
      <c r="K97" s="14"/>
      <c r="L97" s="14"/>
      <c r="M97" s="16"/>
    </row>
    <row r="98" spans="1:13" ht="148.5">
      <c r="A98" s="18" t="s">
        <v>264</v>
      </c>
      <c r="B98" s="18" t="s">
        <v>265</v>
      </c>
      <c r="C98" s="14" t="e">
        <f ca="1">_xlfn.DISPIMG("ID_4AE99C8EDCD244F0864235F7C695CD50",1)</f>
        <v>#NAME?</v>
      </c>
      <c r="D98" s="19">
        <v>8.1199999999999992</v>
      </c>
      <c r="E98" s="18" t="s">
        <v>266</v>
      </c>
      <c r="F98" s="14" t="s">
        <v>261</v>
      </c>
      <c r="G98" s="15" t="s">
        <v>16</v>
      </c>
      <c r="H98" s="15" t="s">
        <v>26</v>
      </c>
      <c r="I98" s="14" t="str">
        <f t="shared" si="6"/>
        <v>CJ010003</v>
      </c>
      <c r="J98" s="14">
        <f t="shared" si="5"/>
        <v>9.09</v>
      </c>
      <c r="K98" s="14"/>
      <c r="L98" s="14"/>
      <c r="M98" s="16"/>
    </row>
    <row r="99" spans="1:13" ht="40.5">
      <c r="A99" s="18"/>
      <c r="B99" s="10" t="s">
        <v>267</v>
      </c>
      <c r="C99" s="14" t="e">
        <f ca="1">_xlfn.DISPIMG("ID_1A44771E0750458AA5B3B42BA0F1815C",1)</f>
        <v>#NAME?</v>
      </c>
      <c r="D99" s="19">
        <v>4.2</v>
      </c>
      <c r="E99" s="10" t="s">
        <v>268</v>
      </c>
      <c r="F99" s="17" t="s">
        <v>261</v>
      </c>
      <c r="G99" s="15" t="s">
        <v>16</v>
      </c>
      <c r="H99" s="20" t="s">
        <v>269</v>
      </c>
      <c r="I99" s="14" t="str">
        <f t="shared" si="6"/>
        <v>CJ010003-3</v>
      </c>
      <c r="J99" s="14">
        <f t="shared" si="5"/>
        <v>4.7</v>
      </c>
      <c r="K99" s="14"/>
      <c r="L99" s="17" t="s">
        <v>125</v>
      </c>
      <c r="M99" s="16"/>
    </row>
    <row r="100" spans="1:13" ht="121.5">
      <c r="A100" s="10" t="s">
        <v>270</v>
      </c>
      <c r="B100" s="18" t="s">
        <v>271</v>
      </c>
      <c r="C100" s="14" t="e">
        <f ca="1">_xlfn.DISPIMG("ID_25BEBA7880CE4B92B013142C6EFF1FBC",1)</f>
        <v>#NAME?</v>
      </c>
      <c r="D100" s="19">
        <v>1.8</v>
      </c>
      <c r="E100" s="10" t="s">
        <v>272</v>
      </c>
      <c r="F100" s="14" t="s">
        <v>261</v>
      </c>
      <c r="G100" s="15" t="s">
        <v>16</v>
      </c>
      <c r="H100" s="15" t="s">
        <v>29</v>
      </c>
      <c r="I100" s="14" t="str">
        <f t="shared" si="6"/>
        <v>CJ010004</v>
      </c>
      <c r="J100" s="14">
        <f t="shared" si="5"/>
        <v>2.02</v>
      </c>
      <c r="K100" s="14"/>
      <c r="L100" s="14"/>
      <c r="M100" s="16"/>
    </row>
    <row r="101" spans="1:13" ht="175.5">
      <c r="A101" s="5" t="s">
        <v>273</v>
      </c>
      <c r="B101" s="32" t="s">
        <v>274</v>
      </c>
      <c r="C101" s="14" t="e">
        <f ca="1">_xlfn.DISPIMG("ID_5268834646BA4606B004511925190833",1)</f>
        <v>#NAME?</v>
      </c>
      <c r="D101" s="19">
        <v>8.5</v>
      </c>
      <c r="E101" s="18" t="s">
        <v>275</v>
      </c>
      <c r="F101" s="14" t="s">
        <v>261</v>
      </c>
      <c r="G101" s="15" t="s">
        <v>16</v>
      </c>
      <c r="H101" s="15" t="s">
        <v>42</v>
      </c>
      <c r="I101" s="14" t="str">
        <f t="shared" si="6"/>
        <v>CJ010005</v>
      </c>
      <c r="J101" s="14">
        <f t="shared" si="5"/>
        <v>9.52</v>
      </c>
      <c r="K101" s="14"/>
      <c r="L101" s="14"/>
      <c r="M101" s="33">
        <v>45952</v>
      </c>
    </row>
    <row r="102" spans="1:13" ht="162">
      <c r="A102" s="5" t="s">
        <v>273</v>
      </c>
      <c r="B102" s="34" t="s">
        <v>276</v>
      </c>
      <c r="C102" s="14" t="e">
        <f ca="1">_xlfn.DISPIMG("ID_A16EF8C0EDAC4C8191108091C5EF521D",1)</f>
        <v>#NAME?</v>
      </c>
      <c r="D102" s="19">
        <v>8.5</v>
      </c>
      <c r="E102" s="18" t="s">
        <v>277</v>
      </c>
      <c r="F102" s="14" t="s">
        <v>261</v>
      </c>
      <c r="G102" s="15" t="s">
        <v>16</v>
      </c>
      <c r="H102" s="15" t="s">
        <v>45</v>
      </c>
      <c r="I102" s="14" t="str">
        <f t="shared" si="6"/>
        <v>CJ010006</v>
      </c>
      <c r="J102" s="14">
        <f t="shared" si="5"/>
        <v>9.52</v>
      </c>
      <c r="K102" s="14"/>
      <c r="L102" s="14"/>
      <c r="M102" s="33">
        <v>45952</v>
      </c>
    </row>
    <row r="103" spans="1:13" ht="175.5">
      <c r="A103" s="35" t="s">
        <v>273</v>
      </c>
      <c r="B103" s="32" t="s">
        <v>278</v>
      </c>
      <c r="C103" s="27" t="e">
        <f ca="1">_xlfn.DISPIMG("ID_2589EF24B1FA445BA4EA3A9494D97542",1)</f>
        <v>#NAME?</v>
      </c>
      <c r="D103" s="19">
        <v>8.5</v>
      </c>
      <c r="E103" s="18" t="s">
        <v>279</v>
      </c>
      <c r="F103" s="14" t="s">
        <v>261</v>
      </c>
      <c r="G103" s="15" t="s">
        <v>16</v>
      </c>
      <c r="H103" s="15" t="s">
        <v>48</v>
      </c>
      <c r="I103" s="14" t="str">
        <f t="shared" si="6"/>
        <v>CJ010007</v>
      </c>
      <c r="J103" s="14">
        <f t="shared" si="5"/>
        <v>9.52</v>
      </c>
      <c r="K103" s="14"/>
      <c r="L103" s="14"/>
      <c r="M103" s="33">
        <v>45952</v>
      </c>
    </row>
    <row r="104" spans="1:13" ht="162">
      <c r="A104" s="18" t="s">
        <v>280</v>
      </c>
      <c r="B104" s="18" t="s">
        <v>281</v>
      </c>
      <c r="C104" s="14" t="e">
        <f ca="1">_xlfn.DISPIMG("ID_14A5F967336F4041BBB918DC6F37EB45",1)</f>
        <v>#NAME?</v>
      </c>
      <c r="D104" s="19">
        <v>1.45</v>
      </c>
      <c r="E104" s="18" t="s">
        <v>282</v>
      </c>
      <c r="F104" s="14" t="s">
        <v>261</v>
      </c>
      <c r="G104" s="15" t="s">
        <v>16</v>
      </c>
      <c r="H104" s="15" t="s">
        <v>51</v>
      </c>
      <c r="I104" s="14" t="str">
        <f t="shared" si="6"/>
        <v>CJ010008</v>
      </c>
      <c r="J104" s="14">
        <f t="shared" si="5"/>
        <v>1.62</v>
      </c>
      <c r="K104" s="14"/>
      <c r="L104" s="14"/>
      <c r="M104" s="16"/>
    </row>
    <row r="105" spans="1:13" ht="162">
      <c r="A105" s="18" t="s">
        <v>280</v>
      </c>
      <c r="B105" s="18" t="s">
        <v>283</v>
      </c>
      <c r="C105" s="14" t="e">
        <f ca="1">_xlfn.DISPIMG("ID_A0EC57D47373493593183DB76687DCD2",1)</f>
        <v>#NAME?</v>
      </c>
      <c r="D105" s="19">
        <v>1.45</v>
      </c>
      <c r="E105" s="18" t="s">
        <v>284</v>
      </c>
      <c r="F105" s="14" t="s">
        <v>261</v>
      </c>
      <c r="G105" s="15" t="s">
        <v>16</v>
      </c>
      <c r="H105" s="15" t="s">
        <v>55</v>
      </c>
      <c r="I105" s="14" t="str">
        <f t="shared" si="6"/>
        <v>CJ010009</v>
      </c>
      <c r="J105" s="14">
        <f t="shared" si="5"/>
        <v>1.62</v>
      </c>
      <c r="K105" s="14"/>
      <c r="L105" s="14"/>
      <c r="M105" s="16"/>
    </row>
    <row r="106" spans="1:13" ht="162">
      <c r="A106" s="18" t="s">
        <v>280</v>
      </c>
      <c r="B106" s="18" t="s">
        <v>285</v>
      </c>
      <c r="C106" s="14" t="e">
        <f ca="1">_xlfn.DISPIMG("ID_3B5D29948ADC4177A71A39319DFF407E",1)</f>
        <v>#NAME?</v>
      </c>
      <c r="D106" s="19">
        <v>1.5366666666666666</v>
      </c>
      <c r="E106" s="18" t="s">
        <v>286</v>
      </c>
      <c r="F106" s="14" t="s">
        <v>261</v>
      </c>
      <c r="G106" s="15" t="s">
        <v>16</v>
      </c>
      <c r="H106" s="15" t="s">
        <v>91</v>
      </c>
      <c r="I106" s="14" t="str">
        <f t="shared" si="6"/>
        <v>CJ010010</v>
      </c>
      <c r="J106" s="14">
        <f t="shared" si="5"/>
        <v>1.72</v>
      </c>
      <c r="K106" s="14"/>
      <c r="L106" s="14"/>
      <c r="M106" s="16"/>
    </row>
    <row r="107" spans="1:13" ht="175.5">
      <c r="A107" s="1" t="s">
        <v>287</v>
      </c>
      <c r="B107" s="34" t="s">
        <v>288</v>
      </c>
      <c r="C107" s="27" t="e">
        <f ca="1">_xlfn.DISPIMG("ID_3526491717A84044953B878280452182",1)</f>
        <v>#NAME?</v>
      </c>
      <c r="D107" s="19">
        <v>2.64</v>
      </c>
      <c r="E107" s="18" t="s">
        <v>289</v>
      </c>
      <c r="F107" s="14" t="s">
        <v>261</v>
      </c>
      <c r="G107" s="15" t="s">
        <v>16</v>
      </c>
      <c r="H107" s="15" t="s">
        <v>95</v>
      </c>
      <c r="I107" s="14" t="str">
        <f t="shared" si="6"/>
        <v>CJ010011</v>
      </c>
      <c r="J107" s="14">
        <f t="shared" si="5"/>
        <v>2.96</v>
      </c>
      <c r="K107" s="14"/>
      <c r="L107" s="14"/>
      <c r="M107" s="16"/>
    </row>
    <row r="108" spans="1:13" ht="135">
      <c r="A108" s="1" t="s">
        <v>287</v>
      </c>
      <c r="B108" s="34" t="s">
        <v>290</v>
      </c>
      <c r="C108" s="27" t="e">
        <f ca="1">_xlfn.DISPIMG("ID_629726FEEAC546B69343BA6E61288465",1)</f>
        <v>#NAME?</v>
      </c>
      <c r="D108" s="19">
        <v>2.64</v>
      </c>
      <c r="E108" s="18" t="s">
        <v>291</v>
      </c>
      <c r="F108" s="14" t="s">
        <v>261</v>
      </c>
      <c r="G108" s="15" t="s">
        <v>16</v>
      </c>
      <c r="H108" s="15" t="s">
        <v>98</v>
      </c>
      <c r="I108" s="14" t="str">
        <f t="shared" si="6"/>
        <v>CJ010012</v>
      </c>
      <c r="J108" s="14">
        <f t="shared" si="5"/>
        <v>2.96</v>
      </c>
      <c r="K108" s="14"/>
      <c r="L108" s="14"/>
      <c r="M108" s="16"/>
    </row>
    <row r="109" spans="1:13" ht="135">
      <c r="A109" s="1" t="s">
        <v>287</v>
      </c>
      <c r="B109" s="34" t="s">
        <v>292</v>
      </c>
      <c r="C109" s="27" t="e">
        <f ca="1">_xlfn.DISPIMG("ID_74E5FCF663854B09A15B09AD53AFC324",1)</f>
        <v>#NAME?</v>
      </c>
      <c r="D109" s="19">
        <v>2.64</v>
      </c>
      <c r="E109" s="18" t="s">
        <v>293</v>
      </c>
      <c r="F109" s="14" t="s">
        <v>261</v>
      </c>
      <c r="G109" s="15" t="s">
        <v>16</v>
      </c>
      <c r="H109" s="15" t="s">
        <v>101</v>
      </c>
      <c r="I109" s="14" t="str">
        <f t="shared" si="6"/>
        <v>CJ010013</v>
      </c>
      <c r="J109" s="14">
        <f t="shared" si="5"/>
        <v>2.96</v>
      </c>
      <c r="K109" s="14"/>
      <c r="L109" s="14"/>
      <c r="M109" s="16"/>
    </row>
    <row r="110" spans="1:13" ht="148.5">
      <c r="A110" s="1" t="s">
        <v>287</v>
      </c>
      <c r="B110" s="34" t="s">
        <v>294</v>
      </c>
      <c r="C110" s="27" t="e">
        <f ca="1">_xlfn.DISPIMG("ID_4F76A016F62B44959ECEB6F2990A7547",1)</f>
        <v>#NAME?</v>
      </c>
      <c r="D110" s="19">
        <v>2.64</v>
      </c>
      <c r="E110" s="18" t="s">
        <v>295</v>
      </c>
      <c r="F110" s="14" t="s">
        <v>261</v>
      </c>
      <c r="G110" s="15" t="s">
        <v>16</v>
      </c>
      <c r="H110" s="15" t="s">
        <v>105</v>
      </c>
      <c r="I110" s="14" t="str">
        <f t="shared" si="6"/>
        <v>CJ010014</v>
      </c>
      <c r="J110" s="14">
        <f t="shared" si="5"/>
        <v>2.96</v>
      </c>
      <c r="K110" s="11"/>
      <c r="L110" s="11"/>
      <c r="M110" s="36"/>
    </row>
    <row r="111" spans="1:13" ht="162">
      <c r="A111" s="18" t="s">
        <v>296</v>
      </c>
      <c r="B111" s="18" t="s">
        <v>297</v>
      </c>
      <c r="C111" s="14" t="e">
        <f ca="1">_xlfn.DISPIMG("ID_26F20CB544454B15817EAFAA2AF70646",1)</f>
        <v>#NAME?</v>
      </c>
      <c r="D111" s="19">
        <v>2.6</v>
      </c>
      <c r="E111" s="10" t="s">
        <v>298</v>
      </c>
      <c r="F111" s="14" t="s">
        <v>261</v>
      </c>
      <c r="G111" s="15" t="s">
        <v>218</v>
      </c>
      <c r="H111" s="15" t="s">
        <v>17</v>
      </c>
      <c r="I111" s="14" t="str">
        <f t="shared" si="6"/>
        <v>CJ020001</v>
      </c>
      <c r="J111" s="14">
        <f t="shared" si="5"/>
        <v>2.91</v>
      </c>
      <c r="K111" s="11"/>
      <c r="L111" s="11"/>
      <c r="M111" s="36"/>
    </row>
    <row r="112" spans="1:13" ht="162">
      <c r="A112" s="18" t="s">
        <v>296</v>
      </c>
      <c r="B112" s="18" t="s">
        <v>299</v>
      </c>
      <c r="C112" s="14" t="e">
        <f ca="1">_xlfn.DISPIMG("ID_29B93BDD89B2427389A11C36CAF91A88",1)</f>
        <v>#NAME?</v>
      </c>
      <c r="D112" s="19">
        <v>2.6</v>
      </c>
      <c r="E112" s="10" t="s">
        <v>300</v>
      </c>
      <c r="F112" s="14" t="s">
        <v>261</v>
      </c>
      <c r="G112" s="15" t="s">
        <v>218</v>
      </c>
      <c r="H112" s="15" t="s">
        <v>23</v>
      </c>
      <c r="I112" s="14" t="str">
        <f t="shared" si="6"/>
        <v>CJ020002</v>
      </c>
      <c r="J112" s="14">
        <f t="shared" si="5"/>
        <v>2.91</v>
      </c>
      <c r="K112" s="11"/>
      <c r="L112" s="36"/>
      <c r="M112" s="36"/>
    </row>
    <row r="113" spans="1:13" ht="162">
      <c r="A113" s="18" t="s">
        <v>301</v>
      </c>
      <c r="B113" s="18" t="s">
        <v>302</v>
      </c>
      <c r="C113" s="14" t="e">
        <f ca="1">_xlfn.DISPIMG("ID_13CF312E1C714AC3956BAF93A6AA4A72",1)</f>
        <v>#NAME?</v>
      </c>
      <c r="D113" s="19">
        <v>7.5</v>
      </c>
      <c r="E113" s="10" t="s">
        <v>303</v>
      </c>
      <c r="F113" s="14" t="s">
        <v>261</v>
      </c>
      <c r="G113" s="15" t="s">
        <v>218</v>
      </c>
      <c r="H113" s="15" t="s">
        <v>26</v>
      </c>
      <c r="I113" s="14" t="str">
        <f t="shared" si="6"/>
        <v>CJ020003</v>
      </c>
      <c r="J113" s="14">
        <f t="shared" si="5"/>
        <v>8.4</v>
      </c>
      <c r="K113" s="11"/>
      <c r="L113" s="11"/>
      <c r="M113" s="36"/>
    </row>
    <row r="114" spans="1:13" ht="162">
      <c r="A114" s="18" t="s">
        <v>301</v>
      </c>
      <c r="B114" s="18" t="s">
        <v>304</v>
      </c>
      <c r="C114" s="14" t="e">
        <f ca="1">_xlfn.DISPIMG("ID_DA24CD5C579A4B5BBF1DC8F66D772EC4",1)</f>
        <v>#NAME?</v>
      </c>
      <c r="D114" s="19">
        <v>7.5</v>
      </c>
      <c r="E114" s="10" t="s">
        <v>305</v>
      </c>
      <c r="F114" s="14" t="s">
        <v>261</v>
      </c>
      <c r="G114" s="15" t="s">
        <v>218</v>
      </c>
      <c r="H114" s="15" t="s">
        <v>29</v>
      </c>
      <c r="I114" s="14" t="str">
        <f t="shared" si="6"/>
        <v>CJ020004</v>
      </c>
      <c r="J114" s="14">
        <f t="shared" si="5"/>
        <v>8.4</v>
      </c>
      <c r="K114" s="11"/>
      <c r="L114" s="11"/>
      <c r="M114" s="36"/>
    </row>
    <row r="115" spans="1:13" ht="162">
      <c r="A115" s="18" t="s">
        <v>301</v>
      </c>
      <c r="B115" s="18" t="s">
        <v>306</v>
      </c>
      <c r="C115" s="14" t="e">
        <f ca="1">_xlfn.DISPIMG("ID_A170C3E287724C6FB409343ABA748AE2",1)</f>
        <v>#NAME?</v>
      </c>
      <c r="D115" s="19">
        <v>7.5</v>
      </c>
      <c r="E115" s="10" t="s">
        <v>307</v>
      </c>
      <c r="F115" s="14" t="s">
        <v>261</v>
      </c>
      <c r="G115" s="15" t="s">
        <v>218</v>
      </c>
      <c r="H115" s="15" t="s">
        <v>42</v>
      </c>
      <c r="I115" s="14" t="str">
        <f t="shared" si="6"/>
        <v>CJ020005</v>
      </c>
      <c r="J115" s="14">
        <f t="shared" si="5"/>
        <v>8.4</v>
      </c>
      <c r="K115" s="11"/>
      <c r="L115" s="11"/>
      <c r="M115" s="36"/>
    </row>
    <row r="116" spans="1:13" ht="162">
      <c r="A116" s="18" t="s">
        <v>308</v>
      </c>
      <c r="B116" s="18" t="s">
        <v>309</v>
      </c>
      <c r="C116" s="14" t="e">
        <f ca="1">_xlfn.DISPIMG("ID_FE1AD575C42B4C99946F45BE93A91526",1)</f>
        <v>#NAME?</v>
      </c>
      <c r="D116" s="19">
        <v>3.88</v>
      </c>
      <c r="E116" s="10" t="s">
        <v>310</v>
      </c>
      <c r="F116" s="14" t="s">
        <v>261</v>
      </c>
      <c r="G116" s="15" t="s">
        <v>218</v>
      </c>
      <c r="H116" s="15" t="s">
        <v>45</v>
      </c>
      <c r="I116" s="14" t="str">
        <f t="shared" si="6"/>
        <v>CJ020006</v>
      </c>
      <c r="J116" s="14">
        <f t="shared" ref="J116:J143" si="7">ROUND(D116*1.12,2)</f>
        <v>4.3499999999999996</v>
      </c>
      <c r="K116" s="11"/>
      <c r="L116" s="11"/>
      <c r="M116" s="36"/>
    </row>
    <row r="117" spans="1:13" ht="162">
      <c r="A117" s="18" t="s">
        <v>308</v>
      </c>
      <c r="B117" s="18" t="s">
        <v>311</v>
      </c>
      <c r="C117" s="14" t="e">
        <f ca="1">_xlfn.DISPIMG("ID_9E81C7207270467AAEED584BB9F34248",1)</f>
        <v>#NAME?</v>
      </c>
      <c r="D117" s="19">
        <v>3.88</v>
      </c>
      <c r="E117" s="10" t="s">
        <v>312</v>
      </c>
      <c r="F117" s="14" t="s">
        <v>261</v>
      </c>
      <c r="G117" s="15" t="s">
        <v>218</v>
      </c>
      <c r="H117" s="15" t="s">
        <v>48</v>
      </c>
      <c r="I117" s="14" t="str">
        <f t="shared" si="6"/>
        <v>CJ020007</v>
      </c>
      <c r="J117" s="14">
        <f t="shared" si="7"/>
        <v>4.3499999999999996</v>
      </c>
      <c r="K117" s="11"/>
      <c r="L117" s="11"/>
      <c r="M117" s="36"/>
    </row>
    <row r="118" spans="1:13" ht="162">
      <c r="A118" s="18" t="s">
        <v>308</v>
      </c>
      <c r="B118" s="18" t="s">
        <v>313</v>
      </c>
      <c r="C118" s="14" t="e">
        <f ca="1">_xlfn.DISPIMG("ID_FEAE86EF7A5A4B9B84511B08D37ED312",1)</f>
        <v>#NAME?</v>
      </c>
      <c r="D118" s="19">
        <v>3.88</v>
      </c>
      <c r="E118" s="10" t="s">
        <v>314</v>
      </c>
      <c r="F118" s="14" t="s">
        <v>261</v>
      </c>
      <c r="G118" s="15" t="s">
        <v>218</v>
      </c>
      <c r="H118" s="15" t="s">
        <v>51</v>
      </c>
      <c r="I118" s="14" t="str">
        <f t="shared" si="6"/>
        <v>CJ020008</v>
      </c>
      <c r="J118" s="14">
        <f t="shared" si="7"/>
        <v>4.3499999999999996</v>
      </c>
      <c r="K118" s="11"/>
      <c r="L118" s="11"/>
      <c r="M118" s="36"/>
    </row>
    <row r="119" spans="1:13" ht="162">
      <c r="A119" s="18" t="s">
        <v>308</v>
      </c>
      <c r="B119" s="18" t="s">
        <v>315</v>
      </c>
      <c r="C119" s="14" t="e">
        <f ca="1">_xlfn.DISPIMG("ID_A7BF48B514E14B1A9FD2E1239968E331",1)</f>
        <v>#NAME?</v>
      </c>
      <c r="D119" s="19">
        <v>3.88</v>
      </c>
      <c r="E119" s="10" t="s">
        <v>316</v>
      </c>
      <c r="F119" s="14" t="s">
        <v>261</v>
      </c>
      <c r="G119" s="15" t="s">
        <v>218</v>
      </c>
      <c r="H119" s="15" t="s">
        <v>55</v>
      </c>
      <c r="I119" s="14" t="str">
        <f t="shared" si="6"/>
        <v>CJ020009</v>
      </c>
      <c r="J119" s="14">
        <f t="shared" si="7"/>
        <v>4.3499999999999996</v>
      </c>
      <c r="K119" s="11"/>
      <c r="L119" s="11"/>
      <c r="M119" s="36"/>
    </row>
    <row r="120" spans="1:13" ht="135">
      <c r="A120" s="18" t="s">
        <v>317</v>
      </c>
      <c r="B120" s="18" t="s">
        <v>318</v>
      </c>
      <c r="C120" s="14" t="e">
        <f ca="1">_xlfn.DISPIMG("ID_F4EFF5DAB45749D79CDF44E884C4FFB5",1)</f>
        <v>#NAME?</v>
      </c>
      <c r="D120" s="19">
        <v>1.8225000000000002</v>
      </c>
      <c r="E120" s="10" t="s">
        <v>319</v>
      </c>
      <c r="F120" s="14" t="s">
        <v>261</v>
      </c>
      <c r="G120" s="15" t="s">
        <v>218</v>
      </c>
      <c r="H120" s="15" t="s">
        <v>91</v>
      </c>
      <c r="I120" s="14" t="str">
        <f t="shared" si="6"/>
        <v>CJ020010</v>
      </c>
      <c r="J120" s="14">
        <f t="shared" si="7"/>
        <v>2.04</v>
      </c>
      <c r="K120" s="11"/>
      <c r="L120" s="11"/>
      <c r="M120" s="36"/>
    </row>
    <row r="121" spans="1:13" ht="135">
      <c r="A121" s="18" t="s">
        <v>317</v>
      </c>
      <c r="B121" s="18" t="s">
        <v>320</v>
      </c>
      <c r="C121" s="14" t="e">
        <f ca="1">_xlfn.DISPIMG("ID_214E01EA905B4E1EB5E32A14C4BED381",1)</f>
        <v>#NAME?</v>
      </c>
      <c r="D121" s="19">
        <v>1.8225000000000002</v>
      </c>
      <c r="E121" s="10" t="s">
        <v>321</v>
      </c>
      <c r="F121" s="14" t="s">
        <v>261</v>
      </c>
      <c r="G121" s="15" t="s">
        <v>218</v>
      </c>
      <c r="H121" s="15" t="s">
        <v>95</v>
      </c>
      <c r="I121" s="14" t="str">
        <f t="shared" si="6"/>
        <v>CJ020011</v>
      </c>
      <c r="J121" s="14">
        <f t="shared" si="7"/>
        <v>2.04</v>
      </c>
      <c r="K121" s="11"/>
      <c r="L121" s="11"/>
      <c r="M121" s="36"/>
    </row>
    <row r="122" spans="1:13" ht="121.5">
      <c r="A122" s="18" t="s">
        <v>317</v>
      </c>
      <c r="B122" s="18" t="s">
        <v>322</v>
      </c>
      <c r="C122" s="14" t="e">
        <f ca="1">_xlfn.DISPIMG("ID_CC85A625B6504075A199AC9020D20E20",1)</f>
        <v>#NAME?</v>
      </c>
      <c r="D122" s="19">
        <v>1.8225000000000002</v>
      </c>
      <c r="E122" s="10" t="s">
        <v>323</v>
      </c>
      <c r="F122" s="14" t="s">
        <v>261</v>
      </c>
      <c r="G122" s="15" t="s">
        <v>218</v>
      </c>
      <c r="H122" s="15" t="s">
        <v>98</v>
      </c>
      <c r="I122" s="14" t="str">
        <f t="shared" si="6"/>
        <v>CJ020012</v>
      </c>
      <c r="J122" s="14">
        <f t="shared" si="7"/>
        <v>2.04</v>
      </c>
      <c r="K122" s="11"/>
      <c r="L122" s="11"/>
      <c r="M122" s="36"/>
    </row>
    <row r="123" spans="1:13" ht="135">
      <c r="A123" s="18" t="s">
        <v>317</v>
      </c>
      <c r="B123" s="18" t="s">
        <v>324</v>
      </c>
      <c r="C123" s="14" t="e">
        <f ca="1">_xlfn.DISPIMG("ID_372F62D351434D4EA566EDB98F5B4F5C",1)</f>
        <v>#NAME?</v>
      </c>
      <c r="D123" s="19">
        <v>1.8225000000000002</v>
      </c>
      <c r="E123" s="10" t="s">
        <v>325</v>
      </c>
      <c r="F123" s="14" t="s">
        <v>261</v>
      </c>
      <c r="G123" s="15" t="s">
        <v>218</v>
      </c>
      <c r="H123" s="15" t="s">
        <v>101</v>
      </c>
      <c r="I123" s="14" t="str">
        <f t="shared" si="6"/>
        <v>CJ020013</v>
      </c>
      <c r="J123" s="14">
        <f t="shared" si="7"/>
        <v>2.04</v>
      </c>
      <c r="K123" s="11"/>
      <c r="L123" s="11"/>
      <c r="M123" s="36"/>
    </row>
    <row r="124" spans="1:13" ht="135">
      <c r="A124" s="18" t="s">
        <v>317</v>
      </c>
      <c r="B124" s="18" t="s">
        <v>326</v>
      </c>
      <c r="C124" s="14" t="e">
        <f ca="1">_xlfn.DISPIMG("ID_A077250150DF4BCD88091066A3799CB2",1)</f>
        <v>#NAME?</v>
      </c>
      <c r="D124" s="19">
        <v>1.8225000000000002</v>
      </c>
      <c r="E124" s="10" t="s">
        <v>327</v>
      </c>
      <c r="F124" s="14" t="s">
        <v>261</v>
      </c>
      <c r="G124" s="15" t="s">
        <v>218</v>
      </c>
      <c r="H124" s="15" t="s">
        <v>105</v>
      </c>
      <c r="I124" s="14" t="str">
        <f t="shared" si="6"/>
        <v>CJ020014</v>
      </c>
      <c r="J124" s="14">
        <f t="shared" si="7"/>
        <v>2.04</v>
      </c>
      <c r="K124" s="11"/>
      <c r="L124" s="11"/>
      <c r="M124" s="36"/>
    </row>
    <row r="125" spans="1:13" ht="135">
      <c r="A125" s="18" t="s">
        <v>317</v>
      </c>
      <c r="B125" s="18" t="s">
        <v>328</v>
      </c>
      <c r="C125" s="14" t="e">
        <f ca="1">_xlfn.DISPIMG("ID_B009A8AA1C8A4981B762DED3F6AC550B",1)</f>
        <v>#NAME?</v>
      </c>
      <c r="D125" s="19">
        <v>1.8225000000000002</v>
      </c>
      <c r="E125" s="10" t="s">
        <v>329</v>
      </c>
      <c r="F125" s="14" t="s">
        <v>261</v>
      </c>
      <c r="G125" s="15" t="s">
        <v>218</v>
      </c>
      <c r="H125" s="15" t="s">
        <v>109</v>
      </c>
      <c r="I125" s="14" t="str">
        <f t="shared" si="6"/>
        <v>CJ020015</v>
      </c>
      <c r="J125" s="14">
        <f t="shared" si="7"/>
        <v>2.04</v>
      </c>
      <c r="K125" s="11"/>
      <c r="L125" s="11"/>
      <c r="M125" s="36"/>
    </row>
    <row r="126" spans="1:13" ht="135">
      <c r="A126" s="18" t="s">
        <v>317</v>
      </c>
      <c r="B126" s="18" t="s">
        <v>330</v>
      </c>
      <c r="C126" s="14" t="e">
        <f ca="1">_xlfn.DISPIMG("ID_6114B9E1B4F44FDC823CF8E1824F3633",1)</f>
        <v>#NAME?</v>
      </c>
      <c r="D126" s="19">
        <v>1.8225000000000002</v>
      </c>
      <c r="E126" s="10" t="s">
        <v>331</v>
      </c>
      <c r="F126" s="14" t="s">
        <v>261</v>
      </c>
      <c r="G126" s="15" t="s">
        <v>218</v>
      </c>
      <c r="H126" s="15" t="s">
        <v>112</v>
      </c>
      <c r="I126" s="14" t="str">
        <f t="shared" si="6"/>
        <v>CJ020016</v>
      </c>
      <c r="J126" s="14">
        <f t="shared" si="7"/>
        <v>2.04</v>
      </c>
      <c r="K126" s="11"/>
      <c r="L126" s="11"/>
      <c r="M126" s="36"/>
    </row>
    <row r="127" spans="1:13" ht="135">
      <c r="A127" s="18" t="s">
        <v>317</v>
      </c>
      <c r="B127" s="18" t="s">
        <v>332</v>
      </c>
      <c r="C127" s="14" t="e">
        <f ca="1">_xlfn.DISPIMG("ID_7AAF5B2908FA4B5DA48CEB628578C218",1)</f>
        <v>#NAME?</v>
      </c>
      <c r="D127" s="19">
        <v>1.8225000000000002</v>
      </c>
      <c r="E127" s="10" t="s">
        <v>333</v>
      </c>
      <c r="F127" s="14" t="s">
        <v>261</v>
      </c>
      <c r="G127" s="15" t="s">
        <v>218</v>
      </c>
      <c r="H127" s="15" t="s">
        <v>115</v>
      </c>
      <c r="I127" s="14" t="str">
        <f t="shared" si="6"/>
        <v>CJ020017</v>
      </c>
      <c r="J127" s="14">
        <f t="shared" si="7"/>
        <v>2.04</v>
      </c>
      <c r="K127" s="11"/>
      <c r="L127" s="11"/>
      <c r="M127" s="36"/>
    </row>
    <row r="128" spans="1:13" ht="135">
      <c r="A128" s="10" t="s">
        <v>317</v>
      </c>
      <c r="B128" s="10" t="s">
        <v>334</v>
      </c>
      <c r="C128" s="14" t="e">
        <f ca="1">_xlfn.DISPIMG("ID_B36C5E938A5B46419754B9FA31D8246A",1)</f>
        <v>#NAME?</v>
      </c>
      <c r="D128" s="19">
        <v>1.8225000000000002</v>
      </c>
      <c r="E128" s="10" t="s">
        <v>335</v>
      </c>
      <c r="F128" s="14" t="s">
        <v>261</v>
      </c>
      <c r="G128" s="15" t="s">
        <v>218</v>
      </c>
      <c r="H128" s="20" t="s">
        <v>169</v>
      </c>
      <c r="I128" s="14" t="str">
        <f t="shared" si="6"/>
        <v>CJ020031</v>
      </c>
      <c r="J128" s="14">
        <f t="shared" si="7"/>
        <v>2.04</v>
      </c>
      <c r="K128" s="11"/>
      <c r="L128" s="11"/>
      <c r="M128" s="36"/>
    </row>
    <row r="129" spans="1:13" ht="121.5">
      <c r="A129" s="18" t="s">
        <v>336</v>
      </c>
      <c r="B129" s="18" t="s">
        <v>337</v>
      </c>
      <c r="C129" s="14" t="e">
        <f ca="1">_xlfn.DISPIMG("ID_591674B576CC4E5FAFB651C7404EC222",1)</f>
        <v>#NAME?</v>
      </c>
      <c r="D129" s="19">
        <v>2.93</v>
      </c>
      <c r="E129" s="18" t="s">
        <v>338</v>
      </c>
      <c r="F129" s="14" t="s">
        <v>261</v>
      </c>
      <c r="G129" s="15" t="s">
        <v>218</v>
      </c>
      <c r="H129" s="15" t="s">
        <v>118</v>
      </c>
      <c r="I129" s="14" t="str">
        <f t="shared" si="6"/>
        <v>CJ020018</v>
      </c>
      <c r="J129" s="14">
        <f t="shared" si="7"/>
        <v>3.28</v>
      </c>
      <c r="K129" s="11"/>
      <c r="L129" s="11"/>
      <c r="M129" s="36"/>
    </row>
    <row r="130" spans="1:13" ht="121.5">
      <c r="A130" s="18" t="s">
        <v>336</v>
      </c>
      <c r="B130" s="18" t="s">
        <v>339</v>
      </c>
      <c r="C130" s="14" t="e">
        <f ca="1">_xlfn.DISPIMG("ID_40F83A7E589740A1A56E1364CBA02C61",1)</f>
        <v>#NAME?</v>
      </c>
      <c r="D130" s="19">
        <v>2.93</v>
      </c>
      <c r="E130" s="18" t="s">
        <v>340</v>
      </c>
      <c r="F130" s="14" t="s">
        <v>261</v>
      </c>
      <c r="G130" s="15" t="s">
        <v>218</v>
      </c>
      <c r="H130" s="15" t="s">
        <v>122</v>
      </c>
      <c r="I130" s="14" t="str">
        <f t="shared" si="6"/>
        <v>CJ020019</v>
      </c>
      <c r="J130" s="14">
        <f t="shared" si="7"/>
        <v>3.28</v>
      </c>
      <c r="K130" s="11"/>
      <c r="L130" s="11"/>
      <c r="M130" s="36"/>
    </row>
    <row r="131" spans="1:13" ht="135">
      <c r="A131" s="18" t="s">
        <v>336</v>
      </c>
      <c r="B131" s="18" t="s">
        <v>341</v>
      </c>
      <c r="C131" s="14" t="e">
        <f ca="1">_xlfn.DISPIMG("ID_15906413C9D543C69D16FD66EF540B81",1)</f>
        <v>#NAME?</v>
      </c>
      <c r="D131" s="19">
        <v>2.93</v>
      </c>
      <c r="E131" s="10" t="s">
        <v>342</v>
      </c>
      <c r="F131" s="14" t="s">
        <v>261</v>
      </c>
      <c r="G131" s="15" t="s">
        <v>218</v>
      </c>
      <c r="H131" s="15" t="s">
        <v>129</v>
      </c>
      <c r="I131" s="14" t="str">
        <f t="shared" si="6"/>
        <v>CJ020020</v>
      </c>
      <c r="J131" s="14">
        <f t="shared" si="7"/>
        <v>3.28</v>
      </c>
      <c r="K131" s="11"/>
      <c r="L131" s="11"/>
      <c r="M131" s="36"/>
    </row>
    <row r="132" spans="1:13" ht="135">
      <c r="A132" s="18" t="s">
        <v>336</v>
      </c>
      <c r="B132" s="18" t="s">
        <v>343</v>
      </c>
      <c r="C132" s="14" t="e">
        <f ca="1">_xlfn.DISPIMG("ID_A3C09F51C98441E7B5E40FC73DE14C3E",1)</f>
        <v>#NAME?</v>
      </c>
      <c r="D132" s="19">
        <v>2.93</v>
      </c>
      <c r="E132" s="10" t="s">
        <v>344</v>
      </c>
      <c r="F132" s="14" t="s">
        <v>261</v>
      </c>
      <c r="G132" s="15" t="s">
        <v>218</v>
      </c>
      <c r="H132" s="15" t="s">
        <v>133</v>
      </c>
      <c r="I132" s="14" t="str">
        <f t="shared" si="6"/>
        <v>CJ020021</v>
      </c>
      <c r="J132" s="14">
        <f t="shared" si="7"/>
        <v>3.28</v>
      </c>
      <c r="K132" s="11"/>
      <c r="L132" s="11"/>
      <c r="M132" s="36"/>
    </row>
    <row r="133" spans="1:13" ht="121.5">
      <c r="A133" s="18" t="s">
        <v>336</v>
      </c>
      <c r="B133" s="18" t="s">
        <v>345</v>
      </c>
      <c r="C133" s="14" t="e">
        <f ca="1">_xlfn.DISPIMG("ID_3F778F4CB1484332AC356DF8306B0782",1)</f>
        <v>#NAME?</v>
      </c>
      <c r="D133" s="19">
        <v>2.93</v>
      </c>
      <c r="E133" s="10" t="s">
        <v>346</v>
      </c>
      <c r="F133" s="14" t="s">
        <v>261</v>
      </c>
      <c r="G133" s="15" t="s">
        <v>218</v>
      </c>
      <c r="H133" s="15" t="s">
        <v>136</v>
      </c>
      <c r="I133" s="14" t="str">
        <f t="shared" si="6"/>
        <v>CJ020022</v>
      </c>
      <c r="J133" s="14">
        <f t="shared" si="7"/>
        <v>3.28</v>
      </c>
      <c r="K133" s="11"/>
      <c r="L133" s="11"/>
      <c r="M133" s="36"/>
    </row>
    <row r="134" spans="1:13" ht="121.5">
      <c r="A134" s="10" t="s">
        <v>336</v>
      </c>
      <c r="B134" s="10" t="s">
        <v>347</v>
      </c>
      <c r="C134" s="14" t="e">
        <f ca="1">_xlfn.DISPIMG("ID_3F778F4CB1484332AC356DF8306B0782",1)</f>
        <v>#NAME?</v>
      </c>
      <c r="D134" s="19">
        <v>5.86</v>
      </c>
      <c r="E134" s="37" t="s">
        <v>348</v>
      </c>
      <c r="F134" s="14" t="s">
        <v>261</v>
      </c>
      <c r="G134" s="20" t="s">
        <v>218</v>
      </c>
      <c r="H134" s="20" t="s">
        <v>151</v>
      </c>
      <c r="I134" s="14" t="str">
        <f t="shared" si="6"/>
        <v>CJ020027</v>
      </c>
      <c r="J134" s="14">
        <f t="shared" si="7"/>
        <v>6.56</v>
      </c>
      <c r="K134" s="11"/>
      <c r="L134" s="11"/>
      <c r="M134" s="36"/>
    </row>
    <row r="135" spans="1:13" ht="121.5">
      <c r="A135" s="10" t="s">
        <v>336</v>
      </c>
      <c r="B135" s="10" t="s">
        <v>347</v>
      </c>
      <c r="C135" s="14" t="e">
        <f ca="1">_xlfn.DISPIMG("ID_3F778F4CB1484332AC356DF8306B0782",1)</f>
        <v>#NAME?</v>
      </c>
      <c r="D135" s="19">
        <v>5.86</v>
      </c>
      <c r="E135" s="10" t="s">
        <v>349</v>
      </c>
      <c r="F135" s="14" t="s">
        <v>261</v>
      </c>
      <c r="G135" s="20" t="s">
        <v>218</v>
      </c>
      <c r="H135" s="20" t="s">
        <v>147</v>
      </c>
      <c r="I135" s="14" t="str">
        <f t="shared" si="6"/>
        <v>CJ020026</v>
      </c>
      <c r="J135" s="14">
        <f t="shared" si="7"/>
        <v>6.56</v>
      </c>
      <c r="K135" s="11"/>
      <c r="L135" s="11"/>
      <c r="M135" s="36"/>
    </row>
    <row r="136" spans="1:13" ht="121.5">
      <c r="A136" s="10" t="s">
        <v>336</v>
      </c>
      <c r="B136" s="10" t="s">
        <v>347</v>
      </c>
      <c r="C136" s="14" t="e">
        <f ca="1">_xlfn.DISPIMG("ID_B120100C7C7D4F77A41396C02CA341CD",1)</f>
        <v>#NAME?</v>
      </c>
      <c r="D136" s="19">
        <v>5.86</v>
      </c>
      <c r="E136" s="10" t="s">
        <v>350</v>
      </c>
      <c r="F136" s="14" t="s">
        <v>261</v>
      </c>
      <c r="G136" s="20" t="s">
        <v>218</v>
      </c>
      <c r="H136" s="20" t="s">
        <v>171</v>
      </c>
      <c r="I136" s="14" t="str">
        <f t="shared" si="6"/>
        <v>CJ020032</v>
      </c>
      <c r="J136" s="14">
        <f t="shared" si="7"/>
        <v>6.56</v>
      </c>
      <c r="K136" s="11"/>
      <c r="L136" s="11"/>
      <c r="M136" s="36"/>
    </row>
    <row r="137" spans="1:13" ht="40.5">
      <c r="A137" s="10"/>
      <c r="B137" s="10"/>
      <c r="C137" s="14" t="e">
        <f ca="1">_xlfn.DISPIMG("ID_B09F9A32A456424F89300AC7C02007F6",1)</f>
        <v>#NAME?</v>
      </c>
      <c r="D137" s="19">
        <v>5.86</v>
      </c>
      <c r="E137" s="10" t="s">
        <v>351</v>
      </c>
      <c r="F137" s="14" t="s">
        <v>261</v>
      </c>
      <c r="G137" s="20" t="s">
        <v>218</v>
      </c>
      <c r="H137" s="20" t="s">
        <v>352</v>
      </c>
      <c r="I137" s="14" t="str">
        <f t="shared" si="6"/>
        <v>CJ020059</v>
      </c>
      <c r="J137" s="14">
        <f t="shared" si="7"/>
        <v>6.56</v>
      </c>
      <c r="K137" s="11"/>
      <c r="L137" s="11"/>
      <c r="M137" s="36"/>
    </row>
    <row r="138" spans="1:13" ht="121.5">
      <c r="A138" s="10" t="s">
        <v>336</v>
      </c>
      <c r="B138" s="10" t="s">
        <v>347</v>
      </c>
      <c r="C138" s="14" t="e">
        <f ca="1">_xlfn.DISPIMG("ID_3F778F4CB1484332AC356DF8306B0782",1)</f>
        <v>#NAME?</v>
      </c>
      <c r="D138" s="19">
        <v>5.86</v>
      </c>
      <c r="E138" s="10" t="s">
        <v>353</v>
      </c>
      <c r="F138" s="14" t="s">
        <v>261</v>
      </c>
      <c r="G138" s="20" t="s">
        <v>218</v>
      </c>
      <c r="H138" s="20" t="s">
        <v>155</v>
      </c>
      <c r="I138" s="14" t="str">
        <f t="shared" si="6"/>
        <v>CJ020028</v>
      </c>
      <c r="J138" s="14">
        <f t="shared" si="7"/>
        <v>6.56</v>
      </c>
      <c r="K138" s="11"/>
      <c r="L138" s="11"/>
      <c r="M138" s="36"/>
    </row>
    <row r="139" spans="1:13" ht="121.5">
      <c r="A139" s="10" t="s">
        <v>336</v>
      </c>
      <c r="B139" s="10" t="s">
        <v>347</v>
      </c>
      <c r="C139" s="14" t="e">
        <f ca="1">_xlfn.DISPIMG("ID_3F778F4CB1484332AC356DF8306B0782",1)</f>
        <v>#NAME?</v>
      </c>
      <c r="D139" s="19">
        <v>5.86</v>
      </c>
      <c r="E139" s="10" t="s">
        <v>354</v>
      </c>
      <c r="F139" s="14" t="s">
        <v>261</v>
      </c>
      <c r="G139" s="20" t="s">
        <v>218</v>
      </c>
      <c r="H139" s="20" t="s">
        <v>161</v>
      </c>
      <c r="I139" s="14" t="str">
        <f t="shared" si="6"/>
        <v>CJ020029</v>
      </c>
      <c r="J139" s="14">
        <f t="shared" si="7"/>
        <v>6.56</v>
      </c>
      <c r="K139" s="11"/>
      <c r="L139" s="11"/>
      <c r="M139" s="36"/>
    </row>
    <row r="140" spans="1:13" ht="121.5">
      <c r="A140" s="10" t="s">
        <v>336</v>
      </c>
      <c r="B140" s="10" t="s">
        <v>347</v>
      </c>
      <c r="C140" s="14" t="e">
        <f ca="1">_xlfn.DISPIMG("ID_3F778F4CB1484332AC356DF8306B0782",1)</f>
        <v>#NAME?</v>
      </c>
      <c r="D140" s="19">
        <v>14.65</v>
      </c>
      <c r="E140" s="10" t="s">
        <v>355</v>
      </c>
      <c r="F140" s="14" t="s">
        <v>261</v>
      </c>
      <c r="G140" s="20" t="s">
        <v>218</v>
      </c>
      <c r="H140" s="20" t="s">
        <v>167</v>
      </c>
      <c r="I140" s="14" t="str">
        <f t="shared" si="6"/>
        <v>CJ020030</v>
      </c>
      <c r="J140" s="14">
        <f t="shared" si="7"/>
        <v>16.41</v>
      </c>
      <c r="K140" s="11"/>
      <c r="L140" s="11"/>
      <c r="M140" s="36"/>
    </row>
    <row r="141" spans="1:13" ht="162">
      <c r="A141" s="18" t="s">
        <v>356</v>
      </c>
      <c r="B141" s="18" t="s">
        <v>357</v>
      </c>
      <c r="C141" s="11" t="e">
        <f ca="1">_xlfn.DISPIMG("ID_BF650E33D3EB4FE28AB55187B116B7F4",1)</f>
        <v>#NAME?</v>
      </c>
      <c r="D141" s="19">
        <v>1.56</v>
      </c>
      <c r="E141" s="10" t="s">
        <v>358</v>
      </c>
      <c r="F141" s="14" t="s">
        <v>261</v>
      </c>
      <c r="G141" s="15" t="s">
        <v>218</v>
      </c>
      <c r="H141" s="15" t="s">
        <v>139</v>
      </c>
      <c r="I141" s="14" t="str">
        <f t="shared" si="6"/>
        <v>CJ020023</v>
      </c>
      <c r="J141" s="14">
        <f t="shared" si="7"/>
        <v>1.75</v>
      </c>
      <c r="K141" s="11"/>
      <c r="L141" s="11"/>
      <c r="M141" s="36"/>
    </row>
    <row r="142" spans="1:13" ht="148.5">
      <c r="A142" s="18" t="s">
        <v>359</v>
      </c>
      <c r="B142" s="18" t="s">
        <v>360</v>
      </c>
      <c r="C142" s="11" t="e">
        <f ca="1">_xlfn.DISPIMG("ID_AAD82E48346D4C56BA9D906672E2C5FB",1)</f>
        <v>#NAME?</v>
      </c>
      <c r="D142" s="19">
        <v>1.46</v>
      </c>
      <c r="E142" s="10" t="s">
        <v>361</v>
      </c>
      <c r="F142" s="14" t="s">
        <v>261</v>
      </c>
      <c r="G142" s="15" t="s">
        <v>218</v>
      </c>
      <c r="H142" s="15" t="s">
        <v>141</v>
      </c>
      <c r="I142" s="14" t="str">
        <f t="shared" si="6"/>
        <v>CJ020024</v>
      </c>
      <c r="J142" s="14">
        <f t="shared" si="7"/>
        <v>1.64</v>
      </c>
      <c r="K142" s="11"/>
      <c r="L142" s="11"/>
      <c r="M142" s="36"/>
    </row>
    <row r="143" spans="1:13" ht="148.5">
      <c r="A143" s="10" t="s">
        <v>362</v>
      </c>
      <c r="B143" s="18" t="s">
        <v>363</v>
      </c>
      <c r="C143" s="14" t="e">
        <f ca="1">_xlfn.DISPIMG("ID_339AB79EE9034FDAA95EDBE3FC51C0D4",1)</f>
        <v>#NAME?</v>
      </c>
      <c r="D143" s="19">
        <v>4.28</v>
      </c>
      <c r="E143" s="18" t="s">
        <v>364</v>
      </c>
      <c r="F143" s="14" t="s">
        <v>261</v>
      </c>
      <c r="G143" s="15" t="s">
        <v>218</v>
      </c>
      <c r="H143" s="15" t="s">
        <v>143</v>
      </c>
      <c r="I143" s="14" t="str">
        <f t="shared" si="6"/>
        <v>CJ020025</v>
      </c>
      <c r="J143" s="14">
        <f t="shared" si="7"/>
        <v>4.79</v>
      </c>
      <c r="K143" s="11"/>
      <c r="L143" s="11"/>
      <c r="M143" s="36"/>
    </row>
    <row r="144" spans="1:13" ht="57">
      <c r="A144" s="23" t="s">
        <v>365</v>
      </c>
      <c r="B144" s="23"/>
      <c r="C144" s="14" t="e">
        <f ca="1">_xlfn.DISPIMG("ID_32AECF15157D40E6887E4A597087188C",1)</f>
        <v>#NAME?</v>
      </c>
      <c r="D144" s="19">
        <f>1.2*4</f>
        <v>4.8</v>
      </c>
      <c r="E144" s="23" t="s">
        <v>366</v>
      </c>
      <c r="F144" s="14" t="s">
        <v>261</v>
      </c>
      <c r="G144" s="15" t="s">
        <v>367</v>
      </c>
      <c r="H144" s="15" t="s">
        <v>17</v>
      </c>
      <c r="I144" s="14" t="str">
        <f t="shared" si="6"/>
        <v>CJ030001</v>
      </c>
      <c r="J144" s="14">
        <f>ROUND(D144*1.05+0.3,2)</f>
        <v>5.34</v>
      </c>
      <c r="K144" s="11"/>
      <c r="L144" s="11"/>
      <c r="M144" s="36"/>
    </row>
    <row r="145" spans="1:13" ht="42.75">
      <c r="A145" s="23" t="s">
        <v>365</v>
      </c>
      <c r="B145" s="21"/>
      <c r="C145" s="14" t="e">
        <f ca="1">_xlfn.DISPIMG("ID_098C1A7EA01F44FB8D7A1475330BFC4F",1)</f>
        <v>#NAME?</v>
      </c>
      <c r="D145" s="19">
        <f>1.2*4</f>
        <v>4.8</v>
      </c>
      <c r="E145" s="23" t="s">
        <v>368</v>
      </c>
      <c r="F145" s="14" t="s">
        <v>261</v>
      </c>
      <c r="G145" s="15" t="s">
        <v>367</v>
      </c>
      <c r="H145" s="15" t="s">
        <v>23</v>
      </c>
      <c r="I145" s="14" t="str">
        <f t="shared" si="6"/>
        <v>CJ030002</v>
      </c>
      <c r="J145" s="14">
        <f>ROUND(D145*1.05+0.3,2)</f>
        <v>5.34</v>
      </c>
      <c r="K145" s="11"/>
      <c r="L145" s="11"/>
      <c r="M145" s="36"/>
    </row>
    <row r="146" spans="1:13" ht="42.75">
      <c r="A146" s="23" t="s">
        <v>365</v>
      </c>
      <c r="B146" s="21"/>
      <c r="C146" s="14" t="e">
        <f ca="1">_xlfn.DISPIMG("ID_EE2B106B39B74A9E8FE00B496E4605B0",1)</f>
        <v>#NAME?</v>
      </c>
      <c r="D146" s="19">
        <f>1.2*4</f>
        <v>4.8</v>
      </c>
      <c r="E146" s="23" t="s">
        <v>369</v>
      </c>
      <c r="F146" s="14" t="s">
        <v>261</v>
      </c>
      <c r="G146" s="15" t="s">
        <v>367</v>
      </c>
      <c r="H146" s="15" t="s">
        <v>26</v>
      </c>
      <c r="I146" s="14" t="str">
        <f t="shared" si="6"/>
        <v>CJ030003</v>
      </c>
      <c r="J146" s="14">
        <f>ROUND(D146*1.05+0.3,2)</f>
        <v>5.34</v>
      </c>
      <c r="K146" s="11"/>
      <c r="L146" s="11"/>
      <c r="M146" s="36"/>
    </row>
    <row r="147" spans="1:13" ht="42.75">
      <c r="A147" s="23" t="s">
        <v>365</v>
      </c>
      <c r="B147" s="21"/>
      <c r="C147" s="14" t="e">
        <f ca="1">_xlfn.DISPIMG("ID_D182498AC8F145568A29858E11B44A75",1)</f>
        <v>#NAME?</v>
      </c>
      <c r="D147" s="19">
        <f>1.2*4</f>
        <v>4.8</v>
      </c>
      <c r="E147" s="23" t="s">
        <v>370</v>
      </c>
      <c r="F147" s="14" t="s">
        <v>261</v>
      </c>
      <c r="G147" s="15" t="s">
        <v>367</v>
      </c>
      <c r="H147" s="15" t="s">
        <v>29</v>
      </c>
      <c r="I147" s="14" t="str">
        <f t="shared" si="6"/>
        <v>CJ030004</v>
      </c>
      <c r="J147" s="14">
        <f>ROUND(D147*1.05+0.3,2)</f>
        <v>5.34</v>
      </c>
      <c r="K147" s="11"/>
      <c r="L147" s="11"/>
      <c r="M147" s="36"/>
    </row>
    <row r="148" spans="1:13" ht="42.75">
      <c r="A148" s="23" t="s">
        <v>365</v>
      </c>
      <c r="B148" s="21"/>
      <c r="C148" s="14" t="e">
        <f ca="1">_xlfn.DISPIMG("ID_7367F1DC67844FA09D1351F7C08BE1C5",1)</f>
        <v>#NAME?</v>
      </c>
      <c r="D148" s="19">
        <f>1.2*4</f>
        <v>4.8</v>
      </c>
      <c r="E148" s="23" t="s">
        <v>371</v>
      </c>
      <c r="F148" s="14" t="s">
        <v>261</v>
      </c>
      <c r="G148" s="15" t="s">
        <v>367</v>
      </c>
      <c r="H148" s="15" t="s">
        <v>42</v>
      </c>
      <c r="I148" s="14" t="str">
        <f t="shared" si="6"/>
        <v>CJ030005</v>
      </c>
      <c r="J148" s="14">
        <f>ROUND(D148*1.05+0.3,2)</f>
        <v>5.34</v>
      </c>
      <c r="K148" s="11"/>
      <c r="L148" s="11"/>
      <c r="M148" s="36"/>
    </row>
    <row r="149" spans="1:13" ht="148.5">
      <c r="A149" s="18" t="s">
        <v>372</v>
      </c>
      <c r="B149" s="18" t="s">
        <v>373</v>
      </c>
      <c r="C149" s="14" t="e">
        <f ca="1">_xlfn.DISPIMG("ID_EE9EA4EFE0464D78BE58B6E6B0C7C990",1)</f>
        <v>#NAME?</v>
      </c>
      <c r="D149" s="19">
        <v>1</v>
      </c>
      <c r="E149" s="10" t="s">
        <v>374</v>
      </c>
      <c r="F149" s="14" t="s">
        <v>261</v>
      </c>
      <c r="G149" s="15" t="s">
        <v>367</v>
      </c>
      <c r="H149" s="15" t="s">
        <v>45</v>
      </c>
      <c r="I149" s="14" t="str">
        <f t="shared" ref="I149:I212" si="8">F149&amp;G149&amp;H149</f>
        <v>CJ030006</v>
      </c>
      <c r="J149" s="14">
        <f>ROUND(D149*1.12,2)</f>
        <v>1.1200000000000001</v>
      </c>
      <c r="K149" s="38"/>
      <c r="L149" s="11"/>
      <c r="M149" s="36"/>
    </row>
    <row r="150" spans="1:13" ht="148.5">
      <c r="A150" s="18" t="s">
        <v>375</v>
      </c>
      <c r="B150" s="18" t="s">
        <v>376</v>
      </c>
      <c r="C150" s="14" t="e">
        <f ca="1">_xlfn.DISPIMG("ID_008361F128D1475EB4B0A472164FEF4D",1)</f>
        <v>#NAME?</v>
      </c>
      <c r="D150" s="19">
        <v>1</v>
      </c>
      <c r="E150" s="10" t="s">
        <v>377</v>
      </c>
      <c r="F150" s="14" t="s">
        <v>261</v>
      </c>
      <c r="G150" s="15" t="s">
        <v>367</v>
      </c>
      <c r="H150" s="15" t="s">
        <v>48</v>
      </c>
      <c r="I150" s="14" t="str">
        <f t="shared" si="8"/>
        <v>CJ030007</v>
      </c>
      <c r="J150" s="14">
        <f>ROUND(D150*1.12,2)</f>
        <v>1.1200000000000001</v>
      </c>
      <c r="K150" s="38"/>
      <c r="L150" s="11"/>
      <c r="M150" s="36"/>
    </row>
    <row r="151" spans="1:13" ht="148.5">
      <c r="A151" s="18" t="s">
        <v>372</v>
      </c>
      <c r="B151" s="18" t="s">
        <v>378</v>
      </c>
      <c r="C151" s="14" t="e">
        <f ca="1">_xlfn.DISPIMG("ID_F0CEC45F08CA4719A1B6399AE21E2CEF",1)</f>
        <v>#NAME?</v>
      </c>
      <c r="D151" s="19">
        <v>1</v>
      </c>
      <c r="E151" s="10" t="s">
        <v>379</v>
      </c>
      <c r="F151" s="14" t="s">
        <v>261</v>
      </c>
      <c r="G151" s="15" t="s">
        <v>367</v>
      </c>
      <c r="H151" s="15" t="s">
        <v>51</v>
      </c>
      <c r="I151" s="14" t="str">
        <f t="shared" si="8"/>
        <v>CJ030008</v>
      </c>
      <c r="J151" s="14">
        <f>ROUND(D151*1.12,2)</f>
        <v>1.1200000000000001</v>
      </c>
      <c r="K151" s="38"/>
      <c r="L151" s="11"/>
      <c r="M151" s="36"/>
    </row>
    <row r="152" spans="1:13" ht="54">
      <c r="A152" s="1" t="s">
        <v>380</v>
      </c>
      <c r="B152" s="34"/>
      <c r="C152" s="14" t="e">
        <f ca="1">_xlfn.DISPIMG("ID_311219BD862448CBA58846EF495B70E7",1)</f>
        <v>#NAME?</v>
      </c>
      <c r="D152" s="19">
        <v>4.7</v>
      </c>
      <c r="E152" s="10" t="s">
        <v>381</v>
      </c>
      <c r="F152" s="14" t="s">
        <v>261</v>
      </c>
      <c r="G152" s="15" t="s">
        <v>367</v>
      </c>
      <c r="H152" s="15" t="s">
        <v>55</v>
      </c>
      <c r="I152" s="14" t="str">
        <f t="shared" si="8"/>
        <v>CJ030009</v>
      </c>
      <c r="J152" s="14">
        <f>ROUND(D152*1.05+0.3,2)</f>
        <v>5.24</v>
      </c>
      <c r="K152" s="11"/>
      <c r="L152" s="11"/>
      <c r="M152" s="36"/>
    </row>
    <row r="153" spans="1:13" ht="54">
      <c r="A153" s="1" t="s">
        <v>380</v>
      </c>
      <c r="B153" s="34"/>
      <c r="C153" s="14" t="e">
        <f ca="1">_xlfn.DISPIMG("ID_0E09E07B4B93421EBC8123C6C42AE36F",1)</f>
        <v>#NAME?</v>
      </c>
      <c r="D153" s="19">
        <v>4.7</v>
      </c>
      <c r="E153" s="10" t="s">
        <v>382</v>
      </c>
      <c r="F153" s="14" t="s">
        <v>261</v>
      </c>
      <c r="G153" s="15" t="s">
        <v>367</v>
      </c>
      <c r="H153" s="15" t="s">
        <v>91</v>
      </c>
      <c r="I153" s="14" t="str">
        <f t="shared" si="8"/>
        <v>CJ030010</v>
      </c>
      <c r="J153" s="14">
        <f>ROUND(D153*1.05+0.3,2)</f>
        <v>5.24</v>
      </c>
      <c r="K153" s="11"/>
      <c r="L153" s="11"/>
      <c r="M153" s="36"/>
    </row>
    <row r="154" spans="1:13" ht="54">
      <c r="A154" s="1" t="s">
        <v>380</v>
      </c>
      <c r="B154" s="34"/>
      <c r="C154" s="14" t="e">
        <f ca="1">_xlfn.DISPIMG("ID_07A9F2238DCA4528BDB58E6338A811F3",1)</f>
        <v>#NAME?</v>
      </c>
      <c r="D154" s="19">
        <v>4.7</v>
      </c>
      <c r="E154" s="10" t="s">
        <v>383</v>
      </c>
      <c r="F154" s="14" t="s">
        <v>261</v>
      </c>
      <c r="G154" s="15" t="s">
        <v>367</v>
      </c>
      <c r="H154" s="15" t="s">
        <v>95</v>
      </c>
      <c r="I154" s="14" t="str">
        <f t="shared" si="8"/>
        <v>CJ030011</v>
      </c>
      <c r="J154" s="14">
        <f>ROUND(D154*1.05+0.3,2)</f>
        <v>5.24</v>
      </c>
      <c r="K154" s="11"/>
      <c r="L154" s="11"/>
      <c r="M154" s="36"/>
    </row>
    <row r="155" spans="1:13" ht="54">
      <c r="A155" s="1" t="s">
        <v>380</v>
      </c>
      <c r="B155" s="34"/>
      <c r="C155" s="14" t="e">
        <f ca="1">_xlfn.DISPIMG("ID_1E1F0D2D094A4F34AD6134DC8594C510",1)</f>
        <v>#NAME?</v>
      </c>
      <c r="D155" s="19">
        <v>4.7</v>
      </c>
      <c r="E155" s="10" t="s">
        <v>384</v>
      </c>
      <c r="F155" s="14" t="s">
        <v>261</v>
      </c>
      <c r="G155" s="15" t="s">
        <v>367</v>
      </c>
      <c r="H155" s="15" t="s">
        <v>98</v>
      </c>
      <c r="I155" s="14" t="str">
        <f t="shared" si="8"/>
        <v>CJ030012</v>
      </c>
      <c r="J155" s="14">
        <f>ROUND(D155*1.05+0.3,2)</f>
        <v>5.24</v>
      </c>
      <c r="K155" s="11"/>
      <c r="L155" s="11"/>
      <c r="M155" s="36"/>
    </row>
    <row r="156" spans="1:13" ht="85.5">
      <c r="A156" s="10" t="s">
        <v>137</v>
      </c>
      <c r="B156" s="18"/>
      <c r="C156" s="14" t="e">
        <f ca="1">_xlfn.DISPIMG("ID_1E1F0D2D094A4F34AD6134DC8594C510",1)</f>
        <v>#NAME?</v>
      </c>
      <c r="D156" s="19">
        <v>18.8</v>
      </c>
      <c r="E156" s="10" t="s">
        <v>385</v>
      </c>
      <c r="F156" s="17" t="s">
        <v>386</v>
      </c>
      <c r="G156" s="15" t="s">
        <v>367</v>
      </c>
      <c r="H156" s="15" t="s">
        <v>98</v>
      </c>
      <c r="I156" s="14" t="str">
        <f t="shared" si="8"/>
        <v>T4-CJ030012</v>
      </c>
      <c r="J156" s="14">
        <f>D156*1.12</f>
        <v>21.056000000000004</v>
      </c>
      <c r="K156" s="39" t="s">
        <v>387</v>
      </c>
      <c r="L156" s="38" t="s">
        <v>388</v>
      </c>
      <c r="M156" s="40">
        <v>45969</v>
      </c>
    </row>
    <row r="157" spans="1:13" ht="135">
      <c r="A157" s="18" t="s">
        <v>380</v>
      </c>
      <c r="B157" s="18" t="s">
        <v>389</v>
      </c>
      <c r="C157" s="14" t="e">
        <f ca="1">_xlfn.DISPIMG("ID_794E55406CDB4F258A8E25B858171CDE",1)</f>
        <v>#NAME?</v>
      </c>
      <c r="D157" s="19">
        <v>5.5</v>
      </c>
      <c r="E157" s="18" t="s">
        <v>390</v>
      </c>
      <c r="F157" s="14" t="s">
        <v>261</v>
      </c>
      <c r="G157" s="15" t="s">
        <v>367</v>
      </c>
      <c r="H157" s="15" t="s">
        <v>101</v>
      </c>
      <c r="I157" s="14" t="str">
        <f t="shared" si="8"/>
        <v>CJ030013</v>
      </c>
      <c r="J157" s="14">
        <f t="shared" ref="J157:J164" si="9">ROUND(D157*1.12,2)</f>
        <v>6.16</v>
      </c>
      <c r="K157" s="11"/>
      <c r="L157" s="11"/>
      <c r="M157" s="36"/>
    </row>
    <row r="158" spans="1:13" ht="121.5">
      <c r="A158" s="18" t="s">
        <v>391</v>
      </c>
      <c r="B158" s="18" t="s">
        <v>392</v>
      </c>
      <c r="C158" s="14" t="e">
        <f ca="1">_xlfn.DISPIMG("ID_674E81F9A2124D6AA44CC9972D353F76",1)</f>
        <v>#NAME?</v>
      </c>
      <c r="D158" s="19">
        <v>1.25</v>
      </c>
      <c r="E158" s="18" t="s">
        <v>393</v>
      </c>
      <c r="F158" s="14" t="s">
        <v>261</v>
      </c>
      <c r="G158" s="15" t="s">
        <v>367</v>
      </c>
      <c r="H158" s="15" t="s">
        <v>105</v>
      </c>
      <c r="I158" s="14" t="str">
        <f t="shared" si="8"/>
        <v>CJ030014</v>
      </c>
      <c r="J158" s="14">
        <f t="shared" si="9"/>
        <v>1.4</v>
      </c>
      <c r="K158" s="38" t="s">
        <v>394</v>
      </c>
      <c r="L158" s="11"/>
      <c r="M158" s="36"/>
    </row>
    <row r="159" spans="1:13" ht="148.5">
      <c r="A159" s="10" t="s">
        <v>395</v>
      </c>
      <c r="B159" s="18" t="s">
        <v>396</v>
      </c>
      <c r="C159" s="14" t="e">
        <f ca="1">_xlfn.DISPIMG("ID_6E2C109DBF09448B971CAB0B22A00ECB",1)</f>
        <v>#NAME?</v>
      </c>
      <c r="D159" s="19">
        <v>0.8</v>
      </c>
      <c r="E159" s="18" t="s">
        <v>397</v>
      </c>
      <c r="F159" s="14" t="s">
        <v>261</v>
      </c>
      <c r="G159" s="15" t="s">
        <v>367</v>
      </c>
      <c r="H159" s="15" t="s">
        <v>109</v>
      </c>
      <c r="I159" s="14" t="str">
        <f t="shared" si="8"/>
        <v>CJ030015</v>
      </c>
      <c r="J159" s="14">
        <f t="shared" si="9"/>
        <v>0.9</v>
      </c>
      <c r="K159" s="11"/>
      <c r="L159" s="11"/>
      <c r="M159" s="36"/>
    </row>
    <row r="160" spans="1:13" ht="189">
      <c r="A160" s="10" t="s">
        <v>398</v>
      </c>
      <c r="B160" s="10" t="s">
        <v>399</v>
      </c>
      <c r="C160" s="14" t="e">
        <f ca="1">_xlfn.DISPIMG("ID_64C882AE74E94C20A0AE93BC1458B014",1)</f>
        <v>#NAME?</v>
      </c>
      <c r="D160" s="19">
        <v>4.75</v>
      </c>
      <c r="E160" s="18" t="s">
        <v>400</v>
      </c>
      <c r="F160" s="14" t="s">
        <v>261</v>
      </c>
      <c r="G160" s="15" t="s">
        <v>367</v>
      </c>
      <c r="H160" s="15" t="s">
        <v>112</v>
      </c>
      <c r="I160" s="14" t="str">
        <f t="shared" si="8"/>
        <v>CJ030016</v>
      </c>
      <c r="J160" s="14">
        <f t="shared" si="9"/>
        <v>5.32</v>
      </c>
      <c r="K160" s="14"/>
      <c r="L160" s="14"/>
      <c r="M160" s="16"/>
    </row>
    <row r="161" spans="1:13" ht="175.5">
      <c r="A161" s="10" t="s">
        <v>398</v>
      </c>
      <c r="B161" s="10" t="s">
        <v>401</v>
      </c>
      <c r="C161" s="14" t="e">
        <f ca="1">_xlfn.DISPIMG("ID_540904A9E82B4995A88EFC0C1D552673",1)</f>
        <v>#NAME?</v>
      </c>
      <c r="D161" s="19">
        <v>4.75</v>
      </c>
      <c r="E161" s="18" t="s">
        <v>402</v>
      </c>
      <c r="F161" s="14" t="s">
        <v>261</v>
      </c>
      <c r="G161" s="15" t="s">
        <v>367</v>
      </c>
      <c r="H161" s="15" t="s">
        <v>115</v>
      </c>
      <c r="I161" s="14" t="str">
        <f t="shared" si="8"/>
        <v>CJ030017</v>
      </c>
      <c r="J161" s="14">
        <f t="shared" si="9"/>
        <v>5.32</v>
      </c>
      <c r="K161" s="14"/>
      <c r="L161" s="14"/>
      <c r="M161" s="16"/>
    </row>
    <row r="162" spans="1:13" ht="175.5">
      <c r="A162" s="10" t="s">
        <v>398</v>
      </c>
      <c r="B162" s="10" t="s">
        <v>403</v>
      </c>
      <c r="C162" s="14" t="e">
        <f ca="1">_xlfn.DISPIMG("ID_BAE890AC3A6E4AE792BA33F96F2EE59E",1)</f>
        <v>#NAME?</v>
      </c>
      <c r="D162" s="19">
        <v>4.75</v>
      </c>
      <c r="E162" s="18" t="s">
        <v>404</v>
      </c>
      <c r="F162" s="14" t="s">
        <v>261</v>
      </c>
      <c r="G162" s="15" t="s">
        <v>367</v>
      </c>
      <c r="H162" s="15" t="s">
        <v>118</v>
      </c>
      <c r="I162" s="14" t="str">
        <f t="shared" si="8"/>
        <v>CJ030018</v>
      </c>
      <c r="J162" s="14">
        <f t="shared" si="9"/>
        <v>5.32</v>
      </c>
      <c r="K162" s="14"/>
      <c r="L162" s="14"/>
      <c r="M162" s="16"/>
    </row>
    <row r="163" spans="1:13" ht="189">
      <c r="A163" s="10" t="s">
        <v>398</v>
      </c>
      <c r="B163" s="10" t="s">
        <v>405</v>
      </c>
      <c r="C163" s="14" t="e">
        <f ca="1">_xlfn.DISPIMG("ID_E755821E8EB04440BCE8DE60CAD704D6",1)</f>
        <v>#NAME?</v>
      </c>
      <c r="D163" s="19">
        <v>4.75</v>
      </c>
      <c r="E163" s="18" t="s">
        <v>406</v>
      </c>
      <c r="F163" s="14" t="s">
        <v>261</v>
      </c>
      <c r="G163" s="15" t="s">
        <v>367</v>
      </c>
      <c r="H163" s="15" t="s">
        <v>122</v>
      </c>
      <c r="I163" s="14" t="str">
        <f t="shared" si="8"/>
        <v>CJ030019</v>
      </c>
      <c r="J163" s="14">
        <f t="shared" si="9"/>
        <v>5.32</v>
      </c>
      <c r="K163" s="14"/>
      <c r="L163" s="14"/>
      <c r="M163" s="16"/>
    </row>
    <row r="164" spans="1:13" ht="57">
      <c r="A164" s="23" t="s">
        <v>137</v>
      </c>
      <c r="B164" s="10" t="s">
        <v>407</v>
      </c>
      <c r="C164" s="14" t="e">
        <f ca="1">_xlfn.DISPIMG("ID_E755821E8EB04440BCE8DE60CAD704D6",1)</f>
        <v>#NAME?</v>
      </c>
      <c r="D164" s="19">
        <v>19</v>
      </c>
      <c r="E164" s="10" t="s">
        <v>408</v>
      </c>
      <c r="F164" s="14" t="s">
        <v>261</v>
      </c>
      <c r="G164" s="15" t="s">
        <v>367</v>
      </c>
      <c r="H164" s="15" t="s">
        <v>122</v>
      </c>
      <c r="I164" s="17" t="s">
        <v>409</v>
      </c>
      <c r="J164" s="14">
        <f t="shared" si="9"/>
        <v>21.28</v>
      </c>
      <c r="K164" s="17" t="s">
        <v>410</v>
      </c>
      <c r="L164" s="17" t="s">
        <v>388</v>
      </c>
      <c r="M164" s="33">
        <v>45967</v>
      </c>
    </row>
    <row r="165" spans="1:13" ht="57">
      <c r="A165" s="23" t="s">
        <v>137</v>
      </c>
      <c r="B165" s="18"/>
      <c r="C165" s="11" t="e">
        <f ca="1">_xlfn.DISPIMG("ID_96F231B0CC6448EC97EF1B626764FD83",1)</f>
        <v>#NAME?</v>
      </c>
      <c r="D165" s="19">
        <v>1</v>
      </c>
      <c r="E165" s="10" t="s">
        <v>411</v>
      </c>
      <c r="F165" s="14" t="s">
        <v>261</v>
      </c>
      <c r="G165" s="15" t="s">
        <v>367</v>
      </c>
      <c r="H165" s="15" t="s">
        <v>129</v>
      </c>
      <c r="I165" s="14" t="str">
        <f t="shared" ref="I165:I228" si="10">F165&amp;G165&amp;H165</f>
        <v>CJ030020</v>
      </c>
      <c r="J165" s="14">
        <f t="shared" ref="J165:J174" si="11">ROUND(D165*1.05+0.3,2)</f>
        <v>1.35</v>
      </c>
      <c r="K165" s="14"/>
      <c r="L165" s="14"/>
      <c r="M165" s="16"/>
    </row>
    <row r="166" spans="1:13" ht="57">
      <c r="A166" s="23" t="s">
        <v>137</v>
      </c>
      <c r="B166" s="18"/>
      <c r="C166" s="11" t="e">
        <f ca="1">_xlfn.DISPIMG("ID_A2DBA3E935684A89AEB9AE40D32CCD4E",1)</f>
        <v>#NAME?</v>
      </c>
      <c r="D166" s="19">
        <v>1</v>
      </c>
      <c r="E166" s="10" t="s">
        <v>412</v>
      </c>
      <c r="F166" s="14" t="s">
        <v>261</v>
      </c>
      <c r="G166" s="15" t="s">
        <v>367</v>
      </c>
      <c r="H166" s="15" t="s">
        <v>133</v>
      </c>
      <c r="I166" s="14" t="str">
        <f t="shared" si="10"/>
        <v>CJ030021</v>
      </c>
      <c r="J166" s="14">
        <f t="shared" si="11"/>
        <v>1.35</v>
      </c>
      <c r="K166" s="14"/>
      <c r="L166" s="14"/>
      <c r="M166" s="16"/>
    </row>
    <row r="167" spans="1:13" ht="57">
      <c r="A167" s="23" t="s">
        <v>137</v>
      </c>
      <c r="B167" s="18"/>
      <c r="C167" s="11" t="e">
        <f ca="1">_xlfn.DISPIMG("ID_3193437967A946BC825F3B330A7A107E",1)</f>
        <v>#NAME?</v>
      </c>
      <c r="D167" s="19">
        <v>1</v>
      </c>
      <c r="E167" s="10" t="s">
        <v>413</v>
      </c>
      <c r="F167" s="14" t="s">
        <v>261</v>
      </c>
      <c r="G167" s="15" t="s">
        <v>367</v>
      </c>
      <c r="H167" s="15" t="s">
        <v>136</v>
      </c>
      <c r="I167" s="14" t="str">
        <f t="shared" si="10"/>
        <v>CJ030022</v>
      </c>
      <c r="J167" s="14">
        <f t="shared" si="11"/>
        <v>1.35</v>
      </c>
      <c r="K167" s="14"/>
      <c r="L167" s="14"/>
      <c r="M167" s="16"/>
    </row>
    <row r="168" spans="1:13" ht="57">
      <c r="A168" s="23" t="s">
        <v>137</v>
      </c>
      <c r="B168" s="18"/>
      <c r="C168" s="11" t="e">
        <f ca="1">_xlfn.DISPIMG("ID_3D41B1CC3FDD4BC9B2D01DC93EF5B665",1)</f>
        <v>#NAME?</v>
      </c>
      <c r="D168" s="19">
        <v>1</v>
      </c>
      <c r="E168" s="10" t="s">
        <v>414</v>
      </c>
      <c r="F168" s="14" t="s">
        <v>261</v>
      </c>
      <c r="G168" s="15" t="s">
        <v>367</v>
      </c>
      <c r="H168" s="15" t="s">
        <v>139</v>
      </c>
      <c r="I168" s="14" t="str">
        <f t="shared" si="10"/>
        <v>CJ030023</v>
      </c>
      <c r="J168" s="14">
        <f t="shared" si="11"/>
        <v>1.35</v>
      </c>
      <c r="K168" s="14"/>
      <c r="L168" s="14"/>
      <c r="M168" s="16"/>
    </row>
    <row r="169" spans="1:13" ht="57">
      <c r="A169" s="23" t="s">
        <v>137</v>
      </c>
      <c r="B169" s="18"/>
      <c r="C169" s="11" t="e">
        <f ca="1">_xlfn.DISPIMG("ID_CB11EC48561A48B091F4F445BDD3F167",1)</f>
        <v>#NAME?</v>
      </c>
      <c r="D169" s="19">
        <v>1</v>
      </c>
      <c r="E169" s="10" t="s">
        <v>415</v>
      </c>
      <c r="F169" s="14" t="s">
        <v>261</v>
      </c>
      <c r="G169" s="15" t="s">
        <v>367</v>
      </c>
      <c r="H169" s="15" t="s">
        <v>141</v>
      </c>
      <c r="I169" s="14" t="str">
        <f t="shared" si="10"/>
        <v>CJ030024</v>
      </c>
      <c r="J169" s="14">
        <f t="shared" si="11"/>
        <v>1.35</v>
      </c>
      <c r="K169" s="14"/>
      <c r="L169" s="14"/>
      <c r="M169" s="16"/>
    </row>
    <row r="170" spans="1:13" ht="57">
      <c r="A170" s="23" t="s">
        <v>137</v>
      </c>
      <c r="B170" s="18"/>
      <c r="C170" s="11" t="e">
        <f ca="1">_xlfn.DISPIMG("ID_4F2267436EA942E6937386185899447E",1)</f>
        <v>#NAME?</v>
      </c>
      <c r="D170" s="19">
        <v>1</v>
      </c>
      <c r="E170" s="10" t="s">
        <v>416</v>
      </c>
      <c r="F170" s="14" t="s">
        <v>261</v>
      </c>
      <c r="G170" s="15" t="s">
        <v>367</v>
      </c>
      <c r="H170" s="15" t="s">
        <v>143</v>
      </c>
      <c r="I170" s="14" t="str">
        <f t="shared" si="10"/>
        <v>CJ030025</v>
      </c>
      <c r="J170" s="14">
        <f t="shared" si="11"/>
        <v>1.35</v>
      </c>
      <c r="K170" s="14"/>
      <c r="L170" s="14"/>
      <c r="M170" s="16"/>
    </row>
    <row r="171" spans="1:13" ht="57">
      <c r="A171" s="23" t="s">
        <v>137</v>
      </c>
      <c r="B171" s="18"/>
      <c r="C171" s="14" t="e">
        <f ca="1">_xlfn.DISPIMG("ID_7EF6EF82A1D44EAB85C9FB1F6BB22E35",1)</f>
        <v>#NAME?</v>
      </c>
      <c r="D171" s="19">
        <v>1.2</v>
      </c>
      <c r="E171" s="10" t="s">
        <v>417</v>
      </c>
      <c r="F171" s="14" t="s">
        <v>261</v>
      </c>
      <c r="G171" s="15" t="s">
        <v>367</v>
      </c>
      <c r="H171" s="15" t="s">
        <v>147</v>
      </c>
      <c r="I171" s="14" t="str">
        <f t="shared" si="10"/>
        <v>CJ030026</v>
      </c>
      <c r="J171" s="14">
        <f t="shared" si="11"/>
        <v>1.56</v>
      </c>
      <c r="K171" s="14"/>
      <c r="L171" s="14"/>
      <c r="M171" s="16"/>
    </row>
    <row r="172" spans="1:13" ht="57">
      <c r="A172" s="23" t="s">
        <v>137</v>
      </c>
      <c r="B172" s="18"/>
      <c r="C172" s="14" t="e">
        <f ca="1">_xlfn.DISPIMG("ID_46092DC2980848B78D38656D13698C32",1)</f>
        <v>#NAME?</v>
      </c>
      <c r="D172" s="19">
        <v>1.2</v>
      </c>
      <c r="E172" s="10" t="s">
        <v>418</v>
      </c>
      <c r="F172" s="14" t="s">
        <v>261</v>
      </c>
      <c r="G172" s="15" t="s">
        <v>367</v>
      </c>
      <c r="H172" s="15" t="s">
        <v>151</v>
      </c>
      <c r="I172" s="14" t="str">
        <f t="shared" si="10"/>
        <v>CJ030027</v>
      </c>
      <c r="J172" s="14">
        <f t="shared" si="11"/>
        <v>1.56</v>
      </c>
      <c r="K172" s="14"/>
      <c r="L172" s="14"/>
      <c r="M172" s="16"/>
    </row>
    <row r="173" spans="1:13" ht="57">
      <c r="A173" s="23" t="s">
        <v>137</v>
      </c>
      <c r="B173" s="18"/>
      <c r="C173" s="14" t="e">
        <f ca="1">_xlfn.DISPIMG("ID_C3A1D6E5860242388CBBF8E420EE5B43",1)</f>
        <v>#NAME?</v>
      </c>
      <c r="D173" s="19">
        <v>1.2</v>
      </c>
      <c r="E173" s="10" t="s">
        <v>419</v>
      </c>
      <c r="F173" s="14" t="s">
        <v>261</v>
      </c>
      <c r="G173" s="15" t="s">
        <v>367</v>
      </c>
      <c r="H173" s="15" t="s">
        <v>155</v>
      </c>
      <c r="I173" s="14" t="str">
        <f t="shared" si="10"/>
        <v>CJ030028</v>
      </c>
      <c r="J173" s="14">
        <f t="shared" si="11"/>
        <v>1.56</v>
      </c>
      <c r="K173" s="14"/>
      <c r="L173" s="14"/>
      <c r="M173" s="16"/>
    </row>
    <row r="174" spans="1:13" ht="57">
      <c r="A174" s="23" t="s">
        <v>137</v>
      </c>
      <c r="B174" s="18"/>
      <c r="C174" s="14" t="e">
        <f ca="1">_xlfn.DISPIMG("ID_B98169CA28A941BC86B278CE821A0643",1)</f>
        <v>#NAME?</v>
      </c>
      <c r="D174" s="19">
        <v>1.2</v>
      </c>
      <c r="E174" s="10" t="s">
        <v>420</v>
      </c>
      <c r="F174" s="14" t="s">
        <v>261</v>
      </c>
      <c r="G174" s="15" t="s">
        <v>367</v>
      </c>
      <c r="H174" s="15" t="s">
        <v>161</v>
      </c>
      <c r="I174" s="14" t="str">
        <f t="shared" si="10"/>
        <v>CJ030029</v>
      </c>
      <c r="J174" s="14">
        <f t="shared" si="11"/>
        <v>1.56</v>
      </c>
      <c r="K174" s="14"/>
      <c r="L174" s="14"/>
      <c r="M174" s="16"/>
    </row>
    <row r="175" spans="1:13" ht="135">
      <c r="A175" s="10" t="s">
        <v>421</v>
      </c>
      <c r="B175" s="26" t="s">
        <v>422</v>
      </c>
      <c r="C175" s="11" t="e">
        <f ca="1">_xlfn.DISPIMG("ID_C4824989F5294C769ABEA1DA91B50C02",1)</f>
        <v>#NAME?</v>
      </c>
      <c r="D175" s="19">
        <v>12.65</v>
      </c>
      <c r="E175" s="18" t="s">
        <v>423</v>
      </c>
      <c r="F175" s="14" t="s">
        <v>261</v>
      </c>
      <c r="G175" s="15" t="s">
        <v>424</v>
      </c>
      <c r="H175" s="15" t="s">
        <v>17</v>
      </c>
      <c r="I175" s="14" t="str">
        <f t="shared" si="10"/>
        <v>CJ040001</v>
      </c>
      <c r="J175" s="14">
        <f t="shared" ref="J175:J238" si="12">ROUND(D175*1.12,2)</f>
        <v>14.17</v>
      </c>
      <c r="K175" s="14"/>
      <c r="L175" s="14"/>
      <c r="M175" s="16"/>
    </row>
    <row r="176" spans="1:13" ht="108">
      <c r="A176" s="10" t="s">
        <v>421</v>
      </c>
      <c r="B176" s="41" t="s">
        <v>425</v>
      </c>
      <c r="C176" s="11" t="e">
        <f ca="1">_xlfn.DISPIMG("ID_C76D3E8AD32444089B5C5554AE94DE2B",1)</f>
        <v>#NAME?</v>
      </c>
      <c r="D176" s="19">
        <v>18.41</v>
      </c>
      <c r="E176" s="10" t="s">
        <v>426</v>
      </c>
      <c r="F176" s="14" t="s">
        <v>261</v>
      </c>
      <c r="G176" s="15" t="s">
        <v>424</v>
      </c>
      <c r="H176" s="20" t="s">
        <v>122</v>
      </c>
      <c r="I176" s="14" t="str">
        <f t="shared" si="10"/>
        <v>CJ040019</v>
      </c>
      <c r="J176" s="14">
        <f t="shared" si="12"/>
        <v>20.62</v>
      </c>
      <c r="K176" s="14"/>
      <c r="L176" s="14"/>
      <c r="M176" s="16"/>
    </row>
    <row r="177" spans="1:13" ht="175.5">
      <c r="A177" s="18" t="s">
        <v>270</v>
      </c>
      <c r="B177" s="18" t="s">
        <v>427</v>
      </c>
      <c r="C177" s="14" t="e">
        <f ca="1">_xlfn.DISPIMG("ID_D734F25452954C23AB9EED422053119E",1)</f>
        <v>#NAME?</v>
      </c>
      <c r="D177" s="19">
        <v>4.6800000000000006</v>
      </c>
      <c r="E177" s="10" t="s">
        <v>428</v>
      </c>
      <c r="F177" s="14" t="s">
        <v>261</v>
      </c>
      <c r="G177" s="15" t="s">
        <v>424</v>
      </c>
      <c r="H177" s="15" t="s">
        <v>23</v>
      </c>
      <c r="I177" s="14" t="str">
        <f t="shared" si="10"/>
        <v>CJ040002</v>
      </c>
      <c r="J177" s="14">
        <f t="shared" si="12"/>
        <v>5.24</v>
      </c>
      <c r="K177" s="14"/>
      <c r="L177" s="14"/>
      <c r="M177" s="16"/>
    </row>
    <row r="178" spans="1:13" ht="189">
      <c r="A178" s="18" t="s">
        <v>270</v>
      </c>
      <c r="B178" s="18" t="s">
        <v>429</v>
      </c>
      <c r="C178" s="14" t="e">
        <f ca="1">_xlfn.DISPIMG("ID_E52180817D444EBE936095091EB260A7",1)</f>
        <v>#NAME?</v>
      </c>
      <c r="D178" s="19">
        <v>5.78</v>
      </c>
      <c r="E178" s="10" t="s">
        <v>430</v>
      </c>
      <c r="F178" s="14" t="s">
        <v>261</v>
      </c>
      <c r="G178" s="15" t="s">
        <v>424</v>
      </c>
      <c r="H178" s="15" t="s">
        <v>26</v>
      </c>
      <c r="I178" s="14" t="str">
        <f t="shared" si="10"/>
        <v>CJ040003</v>
      </c>
      <c r="J178" s="14">
        <f t="shared" si="12"/>
        <v>6.47</v>
      </c>
      <c r="K178" s="14"/>
      <c r="L178" s="14"/>
      <c r="M178" s="16"/>
    </row>
    <row r="179" spans="1:13" ht="175.5">
      <c r="A179" s="18" t="s">
        <v>270</v>
      </c>
      <c r="B179" s="18" t="s">
        <v>431</v>
      </c>
      <c r="C179" s="14" t="e">
        <f ca="1">_xlfn.DISPIMG("ID_14176C44C8614BAE99C277B19C73B2BE",1)</f>
        <v>#NAME?</v>
      </c>
      <c r="D179" s="19">
        <v>4.6800000000000006</v>
      </c>
      <c r="E179" s="10" t="s">
        <v>432</v>
      </c>
      <c r="F179" s="14" t="s">
        <v>261</v>
      </c>
      <c r="G179" s="15" t="s">
        <v>424</v>
      </c>
      <c r="H179" s="15" t="s">
        <v>29</v>
      </c>
      <c r="I179" s="14" t="str">
        <f t="shared" si="10"/>
        <v>CJ040004</v>
      </c>
      <c r="J179" s="14">
        <f t="shared" si="12"/>
        <v>5.24</v>
      </c>
      <c r="K179" s="14"/>
      <c r="L179" s="14"/>
      <c r="M179" s="16"/>
    </row>
    <row r="180" spans="1:13" ht="121.5">
      <c r="A180" s="18" t="s">
        <v>270</v>
      </c>
      <c r="B180" s="10" t="s">
        <v>433</v>
      </c>
      <c r="C180" s="14" t="e">
        <f ca="1">_xlfn.DISPIMG("ID_14176C44C8614BAE99C277B19C73B2BE",1)</f>
        <v>#NAME?</v>
      </c>
      <c r="D180" s="19">
        <v>0.28000000000000003</v>
      </c>
      <c r="E180" s="10" t="s">
        <v>434</v>
      </c>
      <c r="F180" s="14" t="s">
        <v>261</v>
      </c>
      <c r="G180" s="15" t="s">
        <v>424</v>
      </c>
      <c r="H180" s="15" t="s">
        <v>118</v>
      </c>
      <c r="I180" s="14" t="str">
        <f t="shared" si="10"/>
        <v>CJ040018</v>
      </c>
      <c r="J180" s="14">
        <f t="shared" si="12"/>
        <v>0.31</v>
      </c>
      <c r="K180" s="14"/>
      <c r="L180" s="14"/>
      <c r="M180" s="16"/>
    </row>
    <row r="181" spans="1:13" ht="189">
      <c r="A181" s="18" t="s">
        <v>270</v>
      </c>
      <c r="B181" s="18" t="s">
        <v>435</v>
      </c>
      <c r="C181" s="14" t="e">
        <f ca="1">_xlfn.DISPIMG("ID_E9D6B2C21BEE4E93BE68962DA8AF8CF5",1)</f>
        <v>#NAME?</v>
      </c>
      <c r="D181" s="19">
        <v>5.78</v>
      </c>
      <c r="E181" s="10" t="s">
        <v>436</v>
      </c>
      <c r="F181" s="14" t="s">
        <v>261</v>
      </c>
      <c r="G181" s="15" t="s">
        <v>424</v>
      </c>
      <c r="H181" s="15" t="s">
        <v>42</v>
      </c>
      <c r="I181" s="14" t="str">
        <f t="shared" si="10"/>
        <v>CJ040005</v>
      </c>
      <c r="J181" s="14">
        <f t="shared" si="12"/>
        <v>6.47</v>
      </c>
      <c r="K181" s="14"/>
      <c r="L181" s="14"/>
      <c r="M181" s="16"/>
    </row>
    <row r="182" spans="1:13" ht="175.5">
      <c r="A182" s="18" t="s">
        <v>270</v>
      </c>
      <c r="B182" s="18" t="s">
        <v>437</v>
      </c>
      <c r="C182" s="14" t="e">
        <f ca="1">_xlfn.DISPIMG("ID_217792B26C21405AA670FDA79CB0685E",1)</f>
        <v>#NAME?</v>
      </c>
      <c r="D182" s="19">
        <v>4.6800000000000006</v>
      </c>
      <c r="E182" s="10" t="s">
        <v>438</v>
      </c>
      <c r="F182" s="14" t="s">
        <v>261</v>
      </c>
      <c r="G182" s="15" t="s">
        <v>424</v>
      </c>
      <c r="H182" s="15" t="s">
        <v>45</v>
      </c>
      <c r="I182" s="14" t="str">
        <f t="shared" si="10"/>
        <v>CJ040006</v>
      </c>
      <c r="J182" s="14">
        <f t="shared" si="12"/>
        <v>5.24</v>
      </c>
      <c r="K182" s="14"/>
      <c r="L182" s="14"/>
      <c r="M182" s="16"/>
    </row>
    <row r="183" spans="1:13" ht="121.5">
      <c r="A183" s="18" t="s">
        <v>270</v>
      </c>
      <c r="B183" s="10" t="s">
        <v>439</v>
      </c>
      <c r="C183" s="14" t="e">
        <f ca="1">_xlfn.DISPIMG("ID_7404C2ECEE764E00B970EBF4ABCCF5B2",1)</f>
        <v>#NAME?</v>
      </c>
      <c r="D183" s="19">
        <v>5.78</v>
      </c>
      <c r="E183" s="10" t="s">
        <v>440</v>
      </c>
      <c r="F183" s="14" t="s">
        <v>261</v>
      </c>
      <c r="G183" s="15" t="s">
        <v>424</v>
      </c>
      <c r="H183" s="15" t="s">
        <v>105</v>
      </c>
      <c r="I183" s="14" t="str">
        <f t="shared" si="10"/>
        <v>CJ040014</v>
      </c>
      <c r="J183" s="14">
        <f t="shared" si="12"/>
        <v>6.47</v>
      </c>
      <c r="K183" s="14"/>
      <c r="L183" s="14"/>
      <c r="M183" s="16"/>
    </row>
    <row r="184" spans="1:13" ht="121.5">
      <c r="A184" s="18" t="s">
        <v>270</v>
      </c>
      <c r="B184" s="10" t="s">
        <v>439</v>
      </c>
      <c r="C184" s="14" t="e">
        <f ca="1">_xlfn.DISPIMG("ID_7404C2ECEE764E00B970EBF4ABCCF5B2",1)</f>
        <v>#NAME?</v>
      </c>
      <c r="D184" s="19">
        <v>4.6800000000000006</v>
      </c>
      <c r="E184" s="10" t="s">
        <v>441</v>
      </c>
      <c r="F184" s="14" t="s">
        <v>261</v>
      </c>
      <c r="G184" s="15" t="s">
        <v>424</v>
      </c>
      <c r="H184" s="15" t="s">
        <v>109</v>
      </c>
      <c r="I184" s="14" t="str">
        <f t="shared" si="10"/>
        <v>CJ040015</v>
      </c>
      <c r="J184" s="14">
        <f t="shared" si="12"/>
        <v>5.24</v>
      </c>
      <c r="K184" s="14"/>
      <c r="L184" s="14"/>
      <c r="M184" s="16"/>
    </row>
    <row r="185" spans="1:13" ht="121.5">
      <c r="A185" s="18" t="s">
        <v>270</v>
      </c>
      <c r="B185" s="10" t="s">
        <v>439</v>
      </c>
      <c r="C185" s="14" t="e">
        <f ca="1">_xlfn.DISPIMG("ID_7404C2ECEE764E00B970EBF4ABCCF5B2",1)</f>
        <v>#NAME?</v>
      </c>
      <c r="D185" s="19">
        <v>5.78</v>
      </c>
      <c r="E185" s="10" t="s">
        <v>442</v>
      </c>
      <c r="F185" s="14" t="s">
        <v>261</v>
      </c>
      <c r="G185" s="15" t="s">
        <v>424</v>
      </c>
      <c r="H185" s="15" t="s">
        <v>112</v>
      </c>
      <c r="I185" s="14" t="str">
        <f t="shared" si="10"/>
        <v>CJ040016</v>
      </c>
      <c r="J185" s="14">
        <f t="shared" si="12"/>
        <v>6.47</v>
      </c>
      <c r="K185" s="14"/>
      <c r="L185" s="14"/>
      <c r="M185" s="16"/>
    </row>
    <row r="186" spans="1:13" ht="121.5">
      <c r="A186" s="18" t="s">
        <v>270</v>
      </c>
      <c r="B186" s="10" t="s">
        <v>439</v>
      </c>
      <c r="C186" s="14" t="e">
        <f ca="1">_xlfn.DISPIMG("ID_7404C2ECEE764E00B970EBF4ABCCF5B2",1)</f>
        <v>#NAME?</v>
      </c>
      <c r="D186" s="19">
        <v>4.6800000000000006</v>
      </c>
      <c r="E186" s="10" t="s">
        <v>443</v>
      </c>
      <c r="F186" s="14" t="s">
        <v>261</v>
      </c>
      <c r="G186" s="15" t="s">
        <v>424</v>
      </c>
      <c r="H186" s="15" t="s">
        <v>115</v>
      </c>
      <c r="I186" s="14" t="str">
        <f t="shared" si="10"/>
        <v>CJ040017</v>
      </c>
      <c r="J186" s="14">
        <f t="shared" si="12"/>
        <v>5.24</v>
      </c>
      <c r="K186" s="14"/>
      <c r="L186" s="14"/>
      <c r="M186" s="16"/>
    </row>
    <row r="187" spans="1:13" ht="108">
      <c r="A187" s="18"/>
      <c r="B187" s="10"/>
      <c r="C187" s="14" t="e">
        <f ca="1">_xlfn.DISPIMG("ID_7404C2ECEE764E00B970EBF4ABCCF5B2",1)</f>
        <v>#NAME?</v>
      </c>
      <c r="D187" s="19">
        <f>5.78*5</f>
        <v>28.900000000000002</v>
      </c>
      <c r="E187" s="10" t="s">
        <v>444</v>
      </c>
      <c r="F187" s="17" t="s">
        <v>445</v>
      </c>
      <c r="G187" s="20" t="s">
        <v>424</v>
      </c>
      <c r="H187" s="15" t="s">
        <v>105</v>
      </c>
      <c r="I187" s="14" t="str">
        <f t="shared" si="10"/>
        <v>T5-CJ040014</v>
      </c>
      <c r="J187" s="14">
        <f t="shared" si="12"/>
        <v>32.369999999999997</v>
      </c>
      <c r="K187" s="6" t="s">
        <v>446</v>
      </c>
      <c r="L187" s="17" t="s">
        <v>125</v>
      </c>
      <c r="M187" s="16"/>
    </row>
    <row r="188" spans="1:13" ht="162">
      <c r="A188" s="18" t="s">
        <v>447</v>
      </c>
      <c r="B188" s="18" t="s">
        <v>448</v>
      </c>
      <c r="C188" s="14" t="e">
        <f ca="1">_xlfn.DISPIMG("ID_07DE2353DEAF460FB9D8BFC042FBC601",1)</f>
        <v>#NAME?</v>
      </c>
      <c r="D188" s="19">
        <v>4.0666666666666664</v>
      </c>
      <c r="E188" s="10" t="s">
        <v>449</v>
      </c>
      <c r="F188" s="14" t="s">
        <v>261</v>
      </c>
      <c r="G188" s="15" t="s">
        <v>424</v>
      </c>
      <c r="H188" s="15" t="s">
        <v>48</v>
      </c>
      <c r="I188" s="14" t="str">
        <f t="shared" si="10"/>
        <v>CJ040007</v>
      </c>
      <c r="J188" s="14">
        <f t="shared" si="12"/>
        <v>4.55</v>
      </c>
      <c r="K188" s="14"/>
      <c r="L188" s="14"/>
      <c r="M188" s="16"/>
    </row>
    <row r="189" spans="1:13" ht="162">
      <c r="A189" s="18" t="s">
        <v>447</v>
      </c>
      <c r="B189" s="18" t="s">
        <v>450</v>
      </c>
      <c r="C189" s="14" t="e">
        <f ca="1">_xlfn.DISPIMG("ID_8B73902BA1F4422D957225B3075B1288",1)</f>
        <v>#NAME?</v>
      </c>
      <c r="D189" s="19">
        <v>4.0666666666666664</v>
      </c>
      <c r="E189" s="18" t="s">
        <v>451</v>
      </c>
      <c r="F189" s="14" t="s">
        <v>261</v>
      </c>
      <c r="G189" s="15" t="s">
        <v>424</v>
      </c>
      <c r="H189" s="15" t="s">
        <v>51</v>
      </c>
      <c r="I189" s="14" t="str">
        <f t="shared" si="10"/>
        <v>CJ040008</v>
      </c>
      <c r="J189" s="14">
        <f t="shared" si="12"/>
        <v>4.55</v>
      </c>
      <c r="K189" s="14"/>
      <c r="L189" s="14"/>
      <c r="M189" s="16"/>
    </row>
    <row r="190" spans="1:13" ht="162">
      <c r="A190" s="18" t="s">
        <v>447</v>
      </c>
      <c r="B190" s="18" t="s">
        <v>452</v>
      </c>
      <c r="C190" s="14" t="e">
        <f ca="1">_xlfn.DISPIMG("ID_40491354AC624D6EA7E873CCC64A239F",1)</f>
        <v>#NAME?</v>
      </c>
      <c r="D190" s="19">
        <v>4.0666666666666664</v>
      </c>
      <c r="E190" s="18" t="s">
        <v>453</v>
      </c>
      <c r="F190" s="14" t="s">
        <v>261</v>
      </c>
      <c r="G190" s="15" t="s">
        <v>424</v>
      </c>
      <c r="H190" s="15" t="s">
        <v>55</v>
      </c>
      <c r="I190" s="14" t="str">
        <f t="shared" si="10"/>
        <v>CJ040009</v>
      </c>
      <c r="J190" s="14">
        <f t="shared" si="12"/>
        <v>4.55</v>
      </c>
      <c r="K190" s="14"/>
      <c r="L190" s="14"/>
      <c r="M190" s="16"/>
    </row>
    <row r="191" spans="1:13" ht="175.5">
      <c r="A191" s="18" t="s">
        <v>447</v>
      </c>
      <c r="B191" s="10" t="s">
        <v>454</v>
      </c>
      <c r="C191" s="14" t="e">
        <f ca="1">_xlfn.DISPIMG("ID_40491354AC624D6EA7E873CCC64A239F",1)</f>
        <v>#NAME?</v>
      </c>
      <c r="D191" s="19">
        <v>8.14</v>
      </c>
      <c r="E191" s="10" t="s">
        <v>455</v>
      </c>
      <c r="F191" s="17" t="s">
        <v>456</v>
      </c>
      <c r="G191" s="15" t="s">
        <v>424</v>
      </c>
      <c r="H191" s="15" t="s">
        <v>55</v>
      </c>
      <c r="I191" s="14" t="str">
        <f t="shared" si="10"/>
        <v>T2-CJ040009</v>
      </c>
      <c r="J191" s="14">
        <f t="shared" si="12"/>
        <v>9.1199999999999992</v>
      </c>
      <c r="K191" s="14"/>
      <c r="L191" s="17" t="s">
        <v>388</v>
      </c>
      <c r="M191" s="33">
        <v>45969</v>
      </c>
    </row>
    <row r="192" spans="1:13" ht="162">
      <c r="A192" s="10" t="s">
        <v>457</v>
      </c>
      <c r="B192" s="18" t="s">
        <v>458</v>
      </c>
      <c r="C192" s="14" t="e">
        <f ca="1">_xlfn.DISPIMG("ID_ED459D03DFB242168605D6AB6EAD1BDB",1)</f>
        <v>#NAME?</v>
      </c>
      <c r="D192" s="19">
        <v>1.96</v>
      </c>
      <c r="E192" s="18" t="s">
        <v>459</v>
      </c>
      <c r="F192" s="14" t="s">
        <v>261</v>
      </c>
      <c r="G192" s="15" t="s">
        <v>424</v>
      </c>
      <c r="H192" s="15" t="s">
        <v>91</v>
      </c>
      <c r="I192" s="14" t="str">
        <f t="shared" si="10"/>
        <v>CJ040010</v>
      </c>
      <c r="J192" s="14">
        <f t="shared" si="12"/>
        <v>2.2000000000000002</v>
      </c>
      <c r="K192" s="14"/>
      <c r="L192" s="14"/>
      <c r="M192" s="16"/>
    </row>
    <row r="193" spans="1:13" ht="175.5">
      <c r="A193" s="10" t="s">
        <v>457</v>
      </c>
      <c r="B193" s="18" t="s">
        <v>460</v>
      </c>
      <c r="C193" s="14" t="e">
        <f ca="1">_xlfn.DISPIMG("ID_5CD1CA3C673743D2A649675A52409DDB",1)</f>
        <v>#NAME?</v>
      </c>
      <c r="D193" s="19">
        <v>1.96</v>
      </c>
      <c r="E193" s="18" t="s">
        <v>461</v>
      </c>
      <c r="F193" s="14" t="s">
        <v>261</v>
      </c>
      <c r="G193" s="15" t="s">
        <v>424</v>
      </c>
      <c r="H193" s="15" t="s">
        <v>95</v>
      </c>
      <c r="I193" s="14" t="str">
        <f t="shared" si="10"/>
        <v>CJ040011</v>
      </c>
      <c r="J193" s="14">
        <f t="shared" si="12"/>
        <v>2.2000000000000002</v>
      </c>
      <c r="K193" s="14"/>
      <c r="L193" s="14"/>
      <c r="M193" s="16"/>
    </row>
    <row r="194" spans="1:13" ht="162">
      <c r="A194" s="18" t="s">
        <v>462</v>
      </c>
      <c r="B194" s="18" t="s">
        <v>463</v>
      </c>
      <c r="C194" s="11" t="e">
        <f ca="1">_xlfn.DISPIMG("ID_9E434ACDB14E4F66878996A621BF4231",1)</f>
        <v>#NAME?</v>
      </c>
      <c r="D194" s="19">
        <v>4.1045454545454545</v>
      </c>
      <c r="E194" s="18" t="s">
        <v>464</v>
      </c>
      <c r="F194" s="14" t="s">
        <v>261</v>
      </c>
      <c r="G194" s="15" t="s">
        <v>424</v>
      </c>
      <c r="H194" s="15" t="s">
        <v>98</v>
      </c>
      <c r="I194" s="14" t="str">
        <f t="shared" si="10"/>
        <v>CJ040012</v>
      </c>
      <c r="J194" s="14">
        <f t="shared" si="12"/>
        <v>4.5999999999999996</v>
      </c>
      <c r="K194" s="14"/>
      <c r="L194" s="14"/>
      <c r="M194" s="16"/>
    </row>
    <row r="195" spans="1:13" ht="148.5">
      <c r="A195" s="18" t="s">
        <v>465</v>
      </c>
      <c r="B195" s="18" t="s">
        <v>466</v>
      </c>
      <c r="C195" s="27" t="e">
        <f ca="1">_xlfn.DISPIMG("ID_7E63E21FBA024D19AB7370E39D49A913",1)</f>
        <v>#NAME?</v>
      </c>
      <c r="D195" s="19">
        <v>6.2850000000000001</v>
      </c>
      <c r="E195" s="18" t="s">
        <v>467</v>
      </c>
      <c r="F195" s="14" t="s">
        <v>261</v>
      </c>
      <c r="G195" s="15" t="s">
        <v>424</v>
      </c>
      <c r="H195" s="15" t="s">
        <v>101</v>
      </c>
      <c r="I195" s="14" t="str">
        <f t="shared" si="10"/>
        <v>CJ040013</v>
      </c>
      <c r="J195" s="14">
        <f t="shared" si="12"/>
        <v>7.04</v>
      </c>
      <c r="K195" s="14"/>
      <c r="L195" s="14"/>
      <c r="M195" s="16"/>
    </row>
    <row r="196" spans="1:13" ht="135">
      <c r="A196" s="18" t="s">
        <v>468</v>
      </c>
      <c r="B196" s="18" t="s">
        <v>469</v>
      </c>
      <c r="C196" s="14" t="e">
        <f ca="1">_xlfn.DISPIMG("ID_A0EA4DC6449648D28FDD231D008139F6",1)</f>
        <v>#NAME?</v>
      </c>
      <c r="D196" s="19">
        <v>6.0361111111111105</v>
      </c>
      <c r="E196" s="10" t="s">
        <v>470</v>
      </c>
      <c r="F196" s="14" t="s">
        <v>261</v>
      </c>
      <c r="G196" s="15" t="s">
        <v>471</v>
      </c>
      <c r="H196" s="15" t="s">
        <v>17</v>
      </c>
      <c r="I196" s="14" t="str">
        <f t="shared" si="10"/>
        <v>CJ050001</v>
      </c>
      <c r="J196" s="14">
        <f t="shared" si="12"/>
        <v>6.76</v>
      </c>
      <c r="K196" s="14"/>
      <c r="L196" s="14"/>
      <c r="M196" s="16"/>
    </row>
    <row r="197" spans="1:13" ht="135">
      <c r="A197" s="18" t="s">
        <v>468</v>
      </c>
      <c r="B197" s="18" t="s">
        <v>472</v>
      </c>
      <c r="C197" s="14" t="e">
        <f ca="1">_xlfn.DISPIMG("ID_B207D442033A4C038A74FEBAC3C0669D",1)</f>
        <v>#NAME?</v>
      </c>
      <c r="D197" s="19">
        <v>7.47</v>
      </c>
      <c r="E197" s="10" t="s">
        <v>473</v>
      </c>
      <c r="F197" s="14" t="s">
        <v>261</v>
      </c>
      <c r="G197" s="15" t="s">
        <v>471</v>
      </c>
      <c r="H197" s="20" t="s">
        <v>23</v>
      </c>
      <c r="I197" s="14" t="str">
        <f t="shared" si="10"/>
        <v>CJ050002</v>
      </c>
      <c r="J197" s="14">
        <f t="shared" si="12"/>
        <v>8.3699999999999992</v>
      </c>
      <c r="K197" s="14"/>
      <c r="L197" s="14"/>
      <c r="M197" s="16"/>
    </row>
    <row r="198" spans="1:13" ht="135">
      <c r="A198" s="18" t="s">
        <v>468</v>
      </c>
      <c r="B198" s="18" t="s">
        <v>474</v>
      </c>
      <c r="C198" s="14" t="e">
        <f ca="1">_xlfn.DISPIMG("ID_DA53CFE161A049A6B8DBAEC4347AE27A",1)</f>
        <v>#NAME?</v>
      </c>
      <c r="D198" s="19">
        <v>7.47</v>
      </c>
      <c r="E198" s="10" t="s">
        <v>475</v>
      </c>
      <c r="F198" s="14" t="s">
        <v>261</v>
      </c>
      <c r="G198" s="15" t="s">
        <v>471</v>
      </c>
      <c r="H198" s="20" t="s">
        <v>26</v>
      </c>
      <c r="I198" s="14" t="str">
        <f t="shared" si="10"/>
        <v>CJ050003</v>
      </c>
      <c r="J198" s="14">
        <f t="shared" si="12"/>
        <v>8.3699999999999992</v>
      </c>
      <c r="K198" s="14"/>
      <c r="L198" s="14"/>
      <c r="M198" s="16"/>
    </row>
    <row r="199" spans="1:13" ht="135">
      <c r="A199" s="18" t="s">
        <v>468</v>
      </c>
      <c r="B199" s="18" t="s">
        <v>476</v>
      </c>
      <c r="C199" s="14" t="e">
        <f ca="1">_xlfn.DISPIMG("ID_4AACB9BB8823492B993F628047BD5429",1)</f>
        <v>#NAME?</v>
      </c>
      <c r="D199" s="19">
        <v>6.0361111111111105</v>
      </c>
      <c r="E199" s="10" t="s">
        <v>477</v>
      </c>
      <c r="F199" s="14" t="s">
        <v>261</v>
      </c>
      <c r="G199" s="15" t="s">
        <v>471</v>
      </c>
      <c r="H199" s="15" t="s">
        <v>29</v>
      </c>
      <c r="I199" s="14" t="str">
        <f t="shared" si="10"/>
        <v>CJ050004</v>
      </c>
      <c r="J199" s="14">
        <f t="shared" si="12"/>
        <v>6.76</v>
      </c>
      <c r="K199" s="14"/>
      <c r="L199" s="14"/>
      <c r="M199" s="16"/>
    </row>
    <row r="200" spans="1:13" ht="135">
      <c r="A200" s="18" t="s">
        <v>468</v>
      </c>
      <c r="B200" s="18" t="s">
        <v>478</v>
      </c>
      <c r="C200" s="14" t="e">
        <f ca="1">_xlfn.DISPIMG("ID_191DED54CAAD4E73A9CE818673016293",1)</f>
        <v>#NAME?</v>
      </c>
      <c r="D200" s="19">
        <v>14.12</v>
      </c>
      <c r="E200" s="10" t="s">
        <v>479</v>
      </c>
      <c r="F200" s="14" t="s">
        <v>261</v>
      </c>
      <c r="G200" s="15" t="s">
        <v>471</v>
      </c>
      <c r="H200" s="15" t="s">
        <v>42</v>
      </c>
      <c r="I200" s="14" t="str">
        <f t="shared" si="10"/>
        <v>CJ050005</v>
      </c>
      <c r="J200" s="14">
        <f t="shared" si="12"/>
        <v>15.81</v>
      </c>
      <c r="K200" s="14"/>
      <c r="L200" s="14"/>
      <c r="M200" s="16"/>
    </row>
    <row r="201" spans="1:13" ht="189">
      <c r="A201" s="18" t="s">
        <v>480</v>
      </c>
      <c r="B201" s="18" t="s">
        <v>481</v>
      </c>
      <c r="C201" s="14" t="e">
        <f ca="1">_xlfn.DISPIMG("ID_17E826179A2E4A11B839974A3484E98E",1)</f>
        <v>#NAME?</v>
      </c>
      <c r="D201" s="19">
        <v>27</v>
      </c>
      <c r="E201" s="10" t="s">
        <v>482</v>
      </c>
      <c r="F201" s="14" t="s">
        <v>261</v>
      </c>
      <c r="G201" s="15" t="s">
        <v>471</v>
      </c>
      <c r="H201" s="15" t="s">
        <v>45</v>
      </c>
      <c r="I201" s="14" t="str">
        <f t="shared" si="10"/>
        <v>CJ050006</v>
      </c>
      <c r="J201" s="14">
        <f t="shared" si="12"/>
        <v>30.24</v>
      </c>
      <c r="K201" s="14"/>
      <c r="L201" s="14"/>
      <c r="M201" s="33">
        <v>45947</v>
      </c>
    </row>
    <row r="202" spans="1:13" ht="189">
      <c r="A202" s="18" t="s">
        <v>480</v>
      </c>
      <c r="B202" s="18" t="s">
        <v>483</v>
      </c>
      <c r="C202" s="14" t="e">
        <f ca="1">_xlfn.DISPIMG("ID_0C3E537035B54C3998A37030DA2C79A2",1)</f>
        <v>#NAME?</v>
      </c>
      <c r="D202" s="19">
        <v>27</v>
      </c>
      <c r="E202" s="10" t="s">
        <v>484</v>
      </c>
      <c r="F202" s="14" t="s">
        <v>261</v>
      </c>
      <c r="G202" s="15" t="s">
        <v>471</v>
      </c>
      <c r="H202" s="15" t="s">
        <v>48</v>
      </c>
      <c r="I202" s="14" t="str">
        <f t="shared" si="10"/>
        <v>CJ050007</v>
      </c>
      <c r="J202" s="14">
        <f t="shared" si="12"/>
        <v>30.24</v>
      </c>
      <c r="K202" s="14"/>
      <c r="L202" s="14"/>
      <c r="M202" s="33">
        <v>45947</v>
      </c>
    </row>
    <row r="203" spans="1:13" ht="135">
      <c r="A203" s="18" t="s">
        <v>485</v>
      </c>
      <c r="B203" s="18" t="s">
        <v>486</v>
      </c>
      <c r="C203" s="14" t="e">
        <f ca="1">_xlfn.DISPIMG("ID_94E4E48CE30349DFA3385AD9CDE708E0",1)</f>
        <v>#NAME?</v>
      </c>
      <c r="D203" s="19">
        <v>8.0599999999999987</v>
      </c>
      <c r="E203" s="18" t="s">
        <v>487</v>
      </c>
      <c r="F203" s="14" t="s">
        <v>261</v>
      </c>
      <c r="G203" s="15" t="s">
        <v>471</v>
      </c>
      <c r="H203" s="15" t="s">
        <v>51</v>
      </c>
      <c r="I203" s="14" t="str">
        <f t="shared" si="10"/>
        <v>CJ050008</v>
      </c>
      <c r="J203" s="14">
        <f t="shared" si="12"/>
        <v>9.0299999999999994</v>
      </c>
      <c r="K203" s="14"/>
      <c r="L203" s="14"/>
      <c r="M203" s="16"/>
    </row>
    <row r="204" spans="1:13" ht="189">
      <c r="A204" s="18" t="s">
        <v>296</v>
      </c>
      <c r="B204" s="18" t="s">
        <v>488</v>
      </c>
      <c r="C204" s="14" t="e">
        <f ca="1">_xlfn.DISPIMG("ID_A451A7F3C44045768A96B6740089F185",1)</f>
        <v>#NAME?</v>
      </c>
      <c r="D204" s="19">
        <v>7.8</v>
      </c>
      <c r="E204" s="18" t="s">
        <v>489</v>
      </c>
      <c r="F204" s="14" t="s">
        <v>261</v>
      </c>
      <c r="G204" s="15" t="s">
        <v>471</v>
      </c>
      <c r="H204" s="15" t="s">
        <v>55</v>
      </c>
      <c r="I204" s="14" t="str">
        <f t="shared" si="10"/>
        <v>CJ050009</v>
      </c>
      <c r="J204" s="14">
        <f t="shared" si="12"/>
        <v>8.74</v>
      </c>
      <c r="K204" s="14"/>
      <c r="L204" s="14"/>
      <c r="M204" s="16"/>
    </row>
    <row r="205" spans="1:13" ht="175.5">
      <c r="A205" s="18" t="s">
        <v>296</v>
      </c>
      <c r="B205" s="18" t="s">
        <v>490</v>
      </c>
      <c r="C205" s="14" t="e">
        <f ca="1">_xlfn.DISPIMG("ID_7EEE5197F7274A86999C9061DD92AF8D",1)</f>
        <v>#NAME?</v>
      </c>
      <c r="D205" s="19">
        <v>7.1</v>
      </c>
      <c r="E205" s="10" t="s">
        <v>491</v>
      </c>
      <c r="F205" s="14" t="s">
        <v>261</v>
      </c>
      <c r="G205" s="15" t="s">
        <v>471</v>
      </c>
      <c r="H205" s="15" t="s">
        <v>91</v>
      </c>
      <c r="I205" s="14" t="str">
        <f t="shared" si="10"/>
        <v>CJ050010</v>
      </c>
      <c r="J205" s="14">
        <f t="shared" si="12"/>
        <v>7.95</v>
      </c>
      <c r="K205" s="14"/>
      <c r="L205" s="14"/>
      <c r="M205" s="16"/>
    </row>
    <row r="206" spans="1:13" ht="108">
      <c r="A206" s="18" t="s">
        <v>296</v>
      </c>
      <c r="B206" s="10" t="s">
        <v>492</v>
      </c>
      <c r="C206" s="14"/>
      <c r="D206" s="19">
        <f>7.1*2</f>
        <v>14.2</v>
      </c>
      <c r="E206" s="10" t="s">
        <v>493</v>
      </c>
      <c r="F206" s="14" t="s">
        <v>261</v>
      </c>
      <c r="G206" s="15" t="s">
        <v>471</v>
      </c>
      <c r="H206" s="20" t="s">
        <v>95</v>
      </c>
      <c r="I206" s="14" t="str">
        <f t="shared" si="10"/>
        <v>CJ050011</v>
      </c>
      <c r="J206" s="14">
        <f t="shared" si="12"/>
        <v>15.9</v>
      </c>
      <c r="K206" s="14"/>
      <c r="L206" s="14"/>
      <c r="M206" s="16"/>
    </row>
    <row r="207" spans="1:13" ht="121.5">
      <c r="A207" s="18" t="s">
        <v>485</v>
      </c>
      <c r="B207" s="18" t="s">
        <v>494</v>
      </c>
      <c r="C207" s="14" t="e">
        <f ca="1">_xlfn.DISPIMG("ID_17092826187C44BE930E88157E88A6C9",1)</f>
        <v>#NAME?</v>
      </c>
      <c r="D207" s="19">
        <v>7.9974999999999996</v>
      </c>
      <c r="E207" s="10" t="s">
        <v>495</v>
      </c>
      <c r="F207" s="14" t="s">
        <v>261</v>
      </c>
      <c r="G207" s="15" t="s">
        <v>471</v>
      </c>
      <c r="H207" s="20" t="s">
        <v>101</v>
      </c>
      <c r="I207" s="14" t="str">
        <f t="shared" si="10"/>
        <v>CJ050013</v>
      </c>
      <c r="J207" s="14">
        <f t="shared" si="12"/>
        <v>8.9600000000000009</v>
      </c>
      <c r="K207" s="14"/>
      <c r="L207" s="14"/>
      <c r="M207" s="16"/>
    </row>
    <row r="208" spans="1:13" ht="135">
      <c r="A208" s="18" t="s">
        <v>496</v>
      </c>
      <c r="B208" s="18" t="s">
        <v>497</v>
      </c>
      <c r="C208" s="14" t="e">
        <f ca="1">_xlfn.DISPIMG("ID_D5C94974A63F4977991D60ACA6E8B6FF",1)</f>
        <v>#NAME?</v>
      </c>
      <c r="D208" s="19">
        <v>25.6</v>
      </c>
      <c r="E208" s="18" t="s">
        <v>498</v>
      </c>
      <c r="F208" s="14" t="s">
        <v>261</v>
      </c>
      <c r="G208" s="15" t="s">
        <v>471</v>
      </c>
      <c r="H208" s="20" t="s">
        <v>105</v>
      </c>
      <c r="I208" s="14" t="str">
        <f t="shared" si="10"/>
        <v>CJ050014</v>
      </c>
      <c r="J208" s="14">
        <f t="shared" si="12"/>
        <v>28.67</v>
      </c>
      <c r="K208" s="14"/>
      <c r="L208" s="14"/>
      <c r="M208" s="16"/>
    </row>
    <row r="209" spans="1:13" ht="135">
      <c r="A209" s="18" t="s">
        <v>496</v>
      </c>
      <c r="B209" s="18" t="s">
        <v>499</v>
      </c>
      <c r="C209" s="14" t="e">
        <f ca="1">_xlfn.DISPIMG("ID_020EEBCBC361412D84502736675105ED",1)</f>
        <v>#NAME?</v>
      </c>
      <c r="D209" s="19">
        <v>25.6</v>
      </c>
      <c r="E209" s="18" t="s">
        <v>500</v>
      </c>
      <c r="F209" s="14" t="s">
        <v>261</v>
      </c>
      <c r="G209" s="15" t="s">
        <v>471</v>
      </c>
      <c r="H209" s="20" t="s">
        <v>109</v>
      </c>
      <c r="I209" s="14" t="str">
        <f t="shared" si="10"/>
        <v>CJ050015</v>
      </c>
      <c r="J209" s="14">
        <f t="shared" si="12"/>
        <v>28.67</v>
      </c>
      <c r="K209" s="14"/>
      <c r="L209" s="14"/>
      <c r="M209" s="16"/>
    </row>
    <row r="210" spans="1:13" ht="121.5">
      <c r="A210" s="18" t="s">
        <v>501</v>
      </c>
      <c r="B210" s="18" t="s">
        <v>502</v>
      </c>
      <c r="C210" s="14" t="e">
        <f ca="1">_xlfn.DISPIMG("ID_8CBADD6821E34C17A8D55A994CA65447",1)</f>
        <v>#NAME?</v>
      </c>
      <c r="D210" s="19">
        <v>22.25</v>
      </c>
      <c r="E210" s="10" t="s">
        <v>503</v>
      </c>
      <c r="F210" s="14" t="s">
        <v>261</v>
      </c>
      <c r="G210" s="15" t="s">
        <v>471</v>
      </c>
      <c r="H210" s="20" t="s">
        <v>112</v>
      </c>
      <c r="I210" s="14" t="str">
        <f t="shared" si="10"/>
        <v>CJ050016</v>
      </c>
      <c r="J210" s="14">
        <f t="shared" si="12"/>
        <v>24.92</v>
      </c>
      <c r="K210" s="14"/>
      <c r="L210" s="14"/>
      <c r="M210" s="16"/>
    </row>
    <row r="211" spans="1:13" ht="121.5">
      <c r="A211" s="18" t="s">
        <v>501</v>
      </c>
      <c r="B211" s="18" t="s">
        <v>504</v>
      </c>
      <c r="C211" s="14" t="e">
        <f ca="1">_xlfn.DISPIMG("ID_1166A11FFB4942B595C74D602C7BC70B",1)</f>
        <v>#NAME?</v>
      </c>
      <c r="D211" s="19">
        <v>22.25</v>
      </c>
      <c r="E211" s="18" t="s">
        <v>505</v>
      </c>
      <c r="F211" s="14" t="s">
        <v>261</v>
      </c>
      <c r="G211" s="15" t="s">
        <v>471</v>
      </c>
      <c r="H211" s="20" t="s">
        <v>115</v>
      </c>
      <c r="I211" s="14" t="str">
        <f t="shared" si="10"/>
        <v>CJ050017</v>
      </c>
      <c r="J211" s="14">
        <f t="shared" si="12"/>
        <v>24.92</v>
      </c>
      <c r="K211" s="14"/>
      <c r="L211" s="14"/>
      <c r="M211" s="16"/>
    </row>
    <row r="212" spans="1:13" ht="189">
      <c r="A212" s="10" t="s">
        <v>506</v>
      </c>
      <c r="B212" s="10" t="s">
        <v>507</v>
      </c>
      <c r="C212" s="27" t="e">
        <f ca="1">_xlfn.DISPIMG("ID_015CBB6C123847FDBC54DE44CA3E4F23",1)</f>
        <v>#NAME?</v>
      </c>
      <c r="D212" s="19">
        <v>18.5</v>
      </c>
      <c r="E212" s="10" t="s">
        <v>508</v>
      </c>
      <c r="F212" s="14" t="s">
        <v>261</v>
      </c>
      <c r="G212" s="15" t="s">
        <v>471</v>
      </c>
      <c r="H212" s="20" t="s">
        <v>118</v>
      </c>
      <c r="I212" s="14" t="str">
        <f t="shared" si="10"/>
        <v>CJ050018</v>
      </c>
      <c r="J212" s="14">
        <f t="shared" si="12"/>
        <v>20.72</v>
      </c>
      <c r="K212" s="17"/>
      <c r="L212" s="14"/>
      <c r="M212" s="16"/>
    </row>
    <row r="213" spans="1:13" ht="148.5">
      <c r="A213" s="10" t="s">
        <v>506</v>
      </c>
      <c r="B213" s="10" t="s">
        <v>509</v>
      </c>
      <c r="C213" s="10" t="e">
        <f ca="1">_xlfn.DISPIMG("ID_65C5CAC5CE3F454199BDD04CCCE86171",1)</f>
        <v>#NAME?</v>
      </c>
      <c r="D213" s="19">
        <v>18.5</v>
      </c>
      <c r="E213" s="10" t="s">
        <v>510</v>
      </c>
      <c r="F213" s="14" t="s">
        <v>261</v>
      </c>
      <c r="G213" s="15" t="s">
        <v>471</v>
      </c>
      <c r="H213" s="20" t="s">
        <v>122</v>
      </c>
      <c r="I213" s="14" t="str">
        <f t="shared" si="10"/>
        <v>CJ050019</v>
      </c>
      <c r="J213" s="14">
        <f t="shared" si="12"/>
        <v>20.72</v>
      </c>
      <c r="K213" s="17"/>
      <c r="L213" s="14"/>
      <c r="M213" s="16"/>
    </row>
    <row r="214" spans="1:13" ht="135">
      <c r="A214" s="10" t="s">
        <v>511</v>
      </c>
      <c r="B214" s="10" t="s">
        <v>512</v>
      </c>
      <c r="C214" s="27" t="e">
        <f ca="1">_xlfn.DISPIMG("ID_050884F73DA142EB8EF4AB40FA3A9B68",1)</f>
        <v>#NAME?</v>
      </c>
      <c r="D214" s="19">
        <v>3.1</v>
      </c>
      <c r="E214" s="10" t="s">
        <v>513</v>
      </c>
      <c r="F214" s="17" t="s">
        <v>261</v>
      </c>
      <c r="G214" s="20" t="s">
        <v>471</v>
      </c>
      <c r="H214" s="20" t="s">
        <v>129</v>
      </c>
      <c r="I214" s="14" t="str">
        <f t="shared" si="10"/>
        <v>CJ050020</v>
      </c>
      <c r="J214" s="14">
        <f t="shared" si="12"/>
        <v>3.47</v>
      </c>
      <c r="K214" s="14"/>
      <c r="L214" s="14"/>
      <c r="M214" s="16"/>
    </row>
    <row r="215" spans="1:13" ht="135">
      <c r="A215" s="10" t="s">
        <v>511</v>
      </c>
      <c r="B215" s="10" t="s">
        <v>514</v>
      </c>
      <c r="C215" s="27" t="e">
        <f ca="1">_xlfn.DISPIMG("ID_4171792B333D461792D51E81540AE7F6",1)</f>
        <v>#NAME?</v>
      </c>
      <c r="D215" s="19">
        <v>3.1</v>
      </c>
      <c r="E215" s="10" t="s">
        <v>515</v>
      </c>
      <c r="F215" s="17" t="s">
        <v>261</v>
      </c>
      <c r="G215" s="20" t="s">
        <v>471</v>
      </c>
      <c r="H215" s="20" t="s">
        <v>133</v>
      </c>
      <c r="I215" s="14" t="str">
        <f t="shared" si="10"/>
        <v>CJ050021</v>
      </c>
      <c r="J215" s="14">
        <f t="shared" si="12"/>
        <v>3.47</v>
      </c>
      <c r="K215" s="14"/>
      <c r="L215" s="14"/>
      <c r="M215" s="16"/>
    </row>
    <row r="216" spans="1:13" ht="148.5">
      <c r="A216" s="10" t="s">
        <v>516</v>
      </c>
      <c r="B216" s="18" t="s">
        <v>509</v>
      </c>
      <c r="C216" s="42" t="e">
        <f ca="1">_xlfn.DISPIMG("ID_5764FFBFA47946DE8030D1AB54528EEC",1)</f>
        <v>#NAME?</v>
      </c>
      <c r="D216" s="19">
        <v>24</v>
      </c>
      <c r="E216" s="18" t="s">
        <v>517</v>
      </c>
      <c r="F216" s="14" t="s">
        <v>261</v>
      </c>
      <c r="G216" s="15" t="s">
        <v>471</v>
      </c>
      <c r="H216" s="20" t="s">
        <v>136</v>
      </c>
      <c r="I216" s="14" t="str">
        <f t="shared" si="10"/>
        <v>CJ050022</v>
      </c>
      <c r="J216" s="14">
        <f t="shared" si="12"/>
        <v>26.88</v>
      </c>
      <c r="K216" s="14"/>
      <c r="L216" s="14"/>
      <c r="M216" s="33"/>
    </row>
    <row r="217" spans="1:13" ht="171">
      <c r="A217" s="23" t="s">
        <v>518</v>
      </c>
      <c r="B217" s="23" t="s">
        <v>519</v>
      </c>
      <c r="C217" s="14" t="e">
        <f ca="1">_xlfn.DISPIMG("ID_B0BC3DA55A43495D9595BD0974F5FF49",1)</f>
        <v>#NAME?</v>
      </c>
      <c r="D217" s="19">
        <v>3</v>
      </c>
      <c r="E217" s="23" t="s">
        <v>520</v>
      </c>
      <c r="F217" s="14" t="s">
        <v>261</v>
      </c>
      <c r="G217" s="15" t="s">
        <v>471</v>
      </c>
      <c r="H217" s="20" t="s">
        <v>139</v>
      </c>
      <c r="I217" s="14" t="str">
        <f t="shared" si="10"/>
        <v>CJ050023</v>
      </c>
      <c r="J217" s="14">
        <f t="shared" si="12"/>
        <v>3.36</v>
      </c>
      <c r="K217" s="14"/>
      <c r="L217" s="14"/>
      <c r="M217" s="33">
        <v>45940</v>
      </c>
    </row>
    <row r="218" spans="1:13" ht="171">
      <c r="A218" s="23" t="s">
        <v>518</v>
      </c>
      <c r="B218" s="23" t="s">
        <v>521</v>
      </c>
      <c r="C218" s="14" t="e">
        <f ca="1">_xlfn.DISPIMG("ID_B0BC3DA55A43495D9595BD0974F5FF49",1)</f>
        <v>#NAME?</v>
      </c>
      <c r="D218" s="19">
        <v>4</v>
      </c>
      <c r="E218" s="23" t="s">
        <v>522</v>
      </c>
      <c r="F218" s="14" t="s">
        <v>261</v>
      </c>
      <c r="G218" s="15" t="s">
        <v>471</v>
      </c>
      <c r="H218" s="20" t="s">
        <v>141</v>
      </c>
      <c r="I218" s="14" t="str">
        <f t="shared" si="10"/>
        <v>CJ050024</v>
      </c>
      <c r="J218" s="14">
        <f t="shared" si="12"/>
        <v>4.4800000000000004</v>
      </c>
      <c r="K218" s="14"/>
      <c r="L218" s="14"/>
      <c r="M218" s="33">
        <v>45940</v>
      </c>
    </row>
    <row r="219" spans="1:13" ht="171">
      <c r="A219" s="23" t="s">
        <v>518</v>
      </c>
      <c r="B219" s="23" t="s">
        <v>523</v>
      </c>
      <c r="C219" s="14" t="e">
        <f ca="1">_xlfn.DISPIMG("ID_B0BC3DA55A43495D9595BD0974F5FF49",1)</f>
        <v>#NAME?</v>
      </c>
      <c r="D219" s="19">
        <v>5</v>
      </c>
      <c r="E219" s="23" t="s">
        <v>524</v>
      </c>
      <c r="F219" s="14" t="s">
        <v>261</v>
      </c>
      <c r="G219" s="15" t="s">
        <v>471</v>
      </c>
      <c r="H219" s="20" t="s">
        <v>143</v>
      </c>
      <c r="I219" s="14" t="str">
        <f t="shared" si="10"/>
        <v>CJ050025</v>
      </c>
      <c r="J219" s="14">
        <f t="shared" si="12"/>
        <v>5.6</v>
      </c>
      <c r="K219" s="14"/>
      <c r="L219" s="14"/>
      <c r="M219" s="33">
        <v>45940</v>
      </c>
    </row>
    <row r="220" spans="1:13" ht="171">
      <c r="A220" s="23" t="s">
        <v>518</v>
      </c>
      <c r="B220" s="23" t="s">
        <v>525</v>
      </c>
      <c r="C220" s="14" t="e">
        <f ca="1">_xlfn.DISPIMG("ID_C554892A2F414D6C9210CF90293376D5",1)</f>
        <v>#NAME?</v>
      </c>
      <c r="D220" s="19">
        <v>3</v>
      </c>
      <c r="E220" s="23" t="s">
        <v>526</v>
      </c>
      <c r="F220" s="14" t="s">
        <v>261</v>
      </c>
      <c r="G220" s="15" t="s">
        <v>471</v>
      </c>
      <c r="H220" s="20" t="s">
        <v>147</v>
      </c>
      <c r="I220" s="14" t="str">
        <f t="shared" si="10"/>
        <v>CJ050026</v>
      </c>
      <c r="J220" s="14">
        <f t="shared" si="12"/>
        <v>3.36</v>
      </c>
      <c r="K220" s="14"/>
      <c r="L220" s="14"/>
      <c r="M220" s="33">
        <v>45940</v>
      </c>
    </row>
    <row r="221" spans="1:13" ht="171">
      <c r="A221" s="23" t="s">
        <v>518</v>
      </c>
      <c r="B221" s="23" t="s">
        <v>527</v>
      </c>
      <c r="C221" s="14" t="e">
        <f ca="1">_xlfn.DISPIMG("ID_C554892A2F414D6C9210CF90293376D5",1)</f>
        <v>#NAME?</v>
      </c>
      <c r="D221" s="19">
        <v>4</v>
      </c>
      <c r="E221" s="23" t="s">
        <v>528</v>
      </c>
      <c r="F221" s="14" t="s">
        <v>261</v>
      </c>
      <c r="G221" s="15" t="s">
        <v>471</v>
      </c>
      <c r="H221" s="20" t="s">
        <v>151</v>
      </c>
      <c r="I221" s="14" t="str">
        <f t="shared" si="10"/>
        <v>CJ050027</v>
      </c>
      <c r="J221" s="14">
        <f t="shared" si="12"/>
        <v>4.4800000000000004</v>
      </c>
      <c r="K221" s="14"/>
      <c r="L221" s="14"/>
      <c r="M221" s="33">
        <v>45940</v>
      </c>
    </row>
    <row r="222" spans="1:13" ht="171">
      <c r="A222" s="23" t="s">
        <v>518</v>
      </c>
      <c r="B222" s="23" t="s">
        <v>529</v>
      </c>
      <c r="C222" s="14" t="e">
        <f ca="1">_xlfn.DISPIMG("ID_C554892A2F414D6C9210CF90293376D5",1)</f>
        <v>#NAME?</v>
      </c>
      <c r="D222" s="19">
        <v>5</v>
      </c>
      <c r="E222" s="23" t="s">
        <v>530</v>
      </c>
      <c r="F222" s="14" t="s">
        <v>261</v>
      </c>
      <c r="G222" s="15" t="s">
        <v>471</v>
      </c>
      <c r="H222" s="20" t="s">
        <v>155</v>
      </c>
      <c r="I222" s="14" t="str">
        <f t="shared" si="10"/>
        <v>CJ050028</v>
      </c>
      <c r="J222" s="14">
        <f t="shared" si="12"/>
        <v>5.6</v>
      </c>
      <c r="K222" s="14"/>
      <c r="L222" s="14"/>
      <c r="M222" s="33">
        <v>45940</v>
      </c>
    </row>
    <row r="223" spans="1:13" ht="171">
      <c r="A223" s="23" t="s">
        <v>518</v>
      </c>
      <c r="B223" s="23" t="s">
        <v>531</v>
      </c>
      <c r="C223" s="14" t="e">
        <f ca="1">_xlfn.DISPIMG("ID_DC611773ADE644A89BA0B490FF16E0D9",1)</f>
        <v>#NAME?</v>
      </c>
      <c r="D223" s="19">
        <v>3</v>
      </c>
      <c r="E223" s="23" t="s">
        <v>532</v>
      </c>
      <c r="F223" s="14" t="s">
        <v>261</v>
      </c>
      <c r="G223" s="15" t="s">
        <v>471</v>
      </c>
      <c r="H223" s="20" t="s">
        <v>161</v>
      </c>
      <c r="I223" s="14" t="str">
        <f t="shared" si="10"/>
        <v>CJ050029</v>
      </c>
      <c r="J223" s="14">
        <f t="shared" si="12"/>
        <v>3.36</v>
      </c>
      <c r="K223" s="14"/>
      <c r="L223" s="14"/>
      <c r="M223" s="33">
        <v>45940</v>
      </c>
    </row>
    <row r="224" spans="1:13" ht="171">
      <c r="A224" s="23" t="s">
        <v>518</v>
      </c>
      <c r="B224" s="23" t="s">
        <v>533</v>
      </c>
      <c r="C224" s="14" t="e">
        <f ca="1">_xlfn.DISPIMG("ID_DC611773ADE644A89BA0B490FF16E0D9",1)</f>
        <v>#NAME?</v>
      </c>
      <c r="D224" s="19">
        <v>4</v>
      </c>
      <c r="E224" s="23" t="s">
        <v>534</v>
      </c>
      <c r="F224" s="14" t="s">
        <v>261</v>
      </c>
      <c r="G224" s="15" t="s">
        <v>471</v>
      </c>
      <c r="H224" s="20" t="s">
        <v>167</v>
      </c>
      <c r="I224" s="14" t="str">
        <f t="shared" si="10"/>
        <v>CJ050030</v>
      </c>
      <c r="J224" s="14">
        <f t="shared" si="12"/>
        <v>4.4800000000000004</v>
      </c>
      <c r="K224" s="14"/>
      <c r="L224" s="14"/>
      <c r="M224" s="33">
        <v>45940</v>
      </c>
    </row>
    <row r="225" spans="1:13" ht="171">
      <c r="A225" s="23" t="s">
        <v>518</v>
      </c>
      <c r="B225" s="23" t="s">
        <v>535</v>
      </c>
      <c r="C225" s="14" t="e">
        <f ca="1">_xlfn.DISPIMG("ID_DC611773ADE644A89BA0B490FF16E0D9",1)</f>
        <v>#NAME?</v>
      </c>
      <c r="D225" s="19">
        <v>5</v>
      </c>
      <c r="E225" s="23" t="s">
        <v>536</v>
      </c>
      <c r="F225" s="14" t="s">
        <v>261</v>
      </c>
      <c r="G225" s="15" t="s">
        <v>471</v>
      </c>
      <c r="H225" s="20" t="s">
        <v>169</v>
      </c>
      <c r="I225" s="14" t="str">
        <f t="shared" si="10"/>
        <v>CJ050031</v>
      </c>
      <c r="J225" s="14">
        <f t="shared" si="12"/>
        <v>5.6</v>
      </c>
      <c r="K225" s="14"/>
      <c r="L225" s="14"/>
      <c r="M225" s="33">
        <v>45940</v>
      </c>
    </row>
    <row r="226" spans="1:13" ht="162">
      <c r="A226" s="18" t="s">
        <v>537</v>
      </c>
      <c r="B226" s="26" t="s">
        <v>538</v>
      </c>
      <c r="C226" s="11" t="e">
        <f ca="1">_xlfn.DISPIMG("ID_AF5BD78D2ED947A7BBF742A9694E32BF",1)</f>
        <v>#NAME?</v>
      </c>
      <c r="D226" s="19">
        <v>13.9</v>
      </c>
      <c r="E226" s="18" t="s">
        <v>539</v>
      </c>
      <c r="F226" s="14" t="s">
        <v>261</v>
      </c>
      <c r="G226" s="15" t="s">
        <v>540</v>
      </c>
      <c r="H226" s="15" t="s">
        <v>17</v>
      </c>
      <c r="I226" s="14" t="str">
        <f t="shared" si="10"/>
        <v>CJ060001</v>
      </c>
      <c r="J226" s="14">
        <f t="shared" si="12"/>
        <v>15.57</v>
      </c>
      <c r="K226" s="14"/>
      <c r="L226" s="14"/>
      <c r="M226" s="16"/>
    </row>
    <row r="227" spans="1:13" ht="162">
      <c r="A227" s="18" t="s">
        <v>537</v>
      </c>
      <c r="B227" s="26" t="s">
        <v>541</v>
      </c>
      <c r="C227" s="11" t="e">
        <f ca="1">_xlfn.DISPIMG("ID_8BA6025C579E4CACACA6D1BEA7BB876C",1)</f>
        <v>#NAME?</v>
      </c>
      <c r="D227" s="19">
        <v>13.9</v>
      </c>
      <c r="E227" s="18" t="s">
        <v>542</v>
      </c>
      <c r="F227" s="14" t="s">
        <v>261</v>
      </c>
      <c r="G227" s="15" t="s">
        <v>540</v>
      </c>
      <c r="H227" s="15" t="s">
        <v>23</v>
      </c>
      <c r="I227" s="14" t="str">
        <f t="shared" si="10"/>
        <v>CJ060002</v>
      </c>
      <c r="J227" s="14">
        <f t="shared" si="12"/>
        <v>15.57</v>
      </c>
      <c r="K227" s="14"/>
      <c r="L227" s="14"/>
      <c r="M227" s="16"/>
    </row>
    <row r="228" spans="1:13" ht="162">
      <c r="A228" s="18" t="s">
        <v>543</v>
      </c>
      <c r="B228" s="18" t="s">
        <v>544</v>
      </c>
      <c r="C228" s="14" t="e">
        <f ca="1">_xlfn.DISPIMG("ID_FED9D4945D8C4105B97D48C05218F250",1)</f>
        <v>#NAME?</v>
      </c>
      <c r="D228" s="19">
        <v>5.2</v>
      </c>
      <c r="E228" s="10" t="s">
        <v>545</v>
      </c>
      <c r="F228" s="14" t="s">
        <v>261</v>
      </c>
      <c r="G228" s="15" t="s">
        <v>540</v>
      </c>
      <c r="H228" s="15" t="s">
        <v>26</v>
      </c>
      <c r="I228" s="14" t="str">
        <f t="shared" si="10"/>
        <v>CJ060003</v>
      </c>
      <c r="J228" s="14">
        <f t="shared" si="12"/>
        <v>5.82</v>
      </c>
      <c r="K228" s="14"/>
      <c r="L228" s="14"/>
      <c r="M228" s="16"/>
    </row>
    <row r="229" spans="1:13" ht="135">
      <c r="A229" s="18" t="s">
        <v>546</v>
      </c>
      <c r="B229" s="18" t="s">
        <v>547</v>
      </c>
      <c r="C229" s="14" t="e">
        <f ca="1">_xlfn.DISPIMG("ID_2EFA5E1A8A334502A90D428FD12A2DE3",1)</f>
        <v>#NAME?</v>
      </c>
      <c r="D229" s="19">
        <v>8.8000000000000007</v>
      </c>
      <c r="E229" s="18" t="s">
        <v>548</v>
      </c>
      <c r="F229" s="14" t="s">
        <v>261</v>
      </c>
      <c r="G229" s="15" t="s">
        <v>540</v>
      </c>
      <c r="H229" s="15" t="s">
        <v>29</v>
      </c>
      <c r="I229" s="14" t="str">
        <f t="shared" ref="I229:I292" si="13">F229&amp;G229&amp;H229</f>
        <v>CJ060004</v>
      </c>
      <c r="J229" s="14">
        <f t="shared" si="12"/>
        <v>9.86</v>
      </c>
      <c r="K229" s="14"/>
      <c r="L229" s="14"/>
      <c r="M229" s="16"/>
    </row>
    <row r="230" spans="1:13" ht="135">
      <c r="A230" s="18" t="s">
        <v>546</v>
      </c>
      <c r="B230" s="18" t="s">
        <v>549</v>
      </c>
      <c r="C230" s="43" t="e">
        <f ca="1">_xlfn.DISPIMG("ID_9F243BD7808A45DCA1FDABB8D022C42D",1)</f>
        <v>#NAME?</v>
      </c>
      <c r="D230" s="19">
        <v>8.8000000000000007</v>
      </c>
      <c r="E230" s="18" t="s">
        <v>550</v>
      </c>
      <c r="F230" s="14" t="s">
        <v>261</v>
      </c>
      <c r="G230" s="15" t="s">
        <v>540</v>
      </c>
      <c r="H230" s="15" t="s">
        <v>42</v>
      </c>
      <c r="I230" s="14" t="str">
        <f t="shared" si="13"/>
        <v>CJ060005</v>
      </c>
      <c r="J230" s="14">
        <f t="shared" si="12"/>
        <v>9.86</v>
      </c>
      <c r="K230" s="14"/>
      <c r="L230" s="14"/>
      <c r="M230" s="16"/>
    </row>
    <row r="231" spans="1:13" ht="135">
      <c r="A231" s="18" t="s">
        <v>546</v>
      </c>
      <c r="B231" s="18" t="s">
        <v>551</v>
      </c>
      <c r="C231" s="14" t="e">
        <f ca="1">_xlfn.DISPIMG("ID_919C702F6C3F40B9953296AB05B67C7D",1)</f>
        <v>#NAME?</v>
      </c>
      <c r="D231" s="19">
        <v>8.8000000000000007</v>
      </c>
      <c r="E231" s="18" t="s">
        <v>552</v>
      </c>
      <c r="F231" s="14" t="s">
        <v>261</v>
      </c>
      <c r="G231" s="15" t="s">
        <v>540</v>
      </c>
      <c r="H231" s="15" t="s">
        <v>45</v>
      </c>
      <c r="I231" s="14" t="str">
        <f t="shared" si="13"/>
        <v>CJ060006</v>
      </c>
      <c r="J231" s="14">
        <f t="shared" si="12"/>
        <v>9.86</v>
      </c>
      <c r="K231" s="14"/>
      <c r="L231" s="14"/>
      <c r="M231" s="16"/>
    </row>
    <row r="232" spans="1:13" ht="135">
      <c r="A232" s="18" t="s">
        <v>553</v>
      </c>
      <c r="B232" s="18" t="s">
        <v>554</v>
      </c>
      <c r="C232" s="11" t="e">
        <f ca="1">_xlfn.DISPIMG("ID_D989112E014F42FEA5EFBA2B9D5A884F",1)</f>
        <v>#NAME?</v>
      </c>
      <c r="D232" s="19">
        <v>4.0999999999999996</v>
      </c>
      <c r="E232" s="18" t="s">
        <v>555</v>
      </c>
      <c r="F232" s="14" t="s">
        <v>261</v>
      </c>
      <c r="G232" s="15" t="s">
        <v>540</v>
      </c>
      <c r="H232" s="15" t="s">
        <v>48</v>
      </c>
      <c r="I232" s="14" t="str">
        <f t="shared" si="13"/>
        <v>CJ060007</v>
      </c>
      <c r="J232" s="14">
        <f t="shared" si="12"/>
        <v>4.59</v>
      </c>
      <c r="K232" s="14"/>
      <c r="L232" s="14"/>
      <c r="M232" s="16"/>
    </row>
    <row r="233" spans="1:13" ht="148.5">
      <c r="A233" s="18" t="s">
        <v>553</v>
      </c>
      <c r="B233" s="18" t="s">
        <v>556</v>
      </c>
      <c r="C233" s="11" t="e">
        <f ca="1">_xlfn.DISPIMG("ID_864DF3B82AE64748AE6F6B8D748BE152",1)</f>
        <v>#NAME?</v>
      </c>
      <c r="D233" s="19">
        <v>4.0999999999999996</v>
      </c>
      <c r="E233" s="18" t="s">
        <v>557</v>
      </c>
      <c r="F233" s="14" t="s">
        <v>261</v>
      </c>
      <c r="G233" s="15" t="s">
        <v>540</v>
      </c>
      <c r="H233" s="15" t="s">
        <v>51</v>
      </c>
      <c r="I233" s="14" t="str">
        <f t="shared" si="13"/>
        <v>CJ060008</v>
      </c>
      <c r="J233" s="14">
        <f t="shared" si="12"/>
        <v>4.59</v>
      </c>
      <c r="K233" s="14"/>
      <c r="L233" s="14"/>
      <c r="M233" s="16"/>
    </row>
    <row r="234" spans="1:13" ht="135">
      <c r="A234" s="18" t="s">
        <v>553</v>
      </c>
      <c r="B234" s="18" t="s">
        <v>558</v>
      </c>
      <c r="C234" s="11" t="e">
        <f ca="1">_xlfn.DISPIMG("ID_08439AD2CD48497AA96237D4FF2954B8",1)</f>
        <v>#NAME?</v>
      </c>
      <c r="D234" s="19">
        <v>4.0999999999999996</v>
      </c>
      <c r="E234" s="18" t="s">
        <v>559</v>
      </c>
      <c r="F234" s="14" t="s">
        <v>261</v>
      </c>
      <c r="G234" s="15" t="s">
        <v>540</v>
      </c>
      <c r="H234" s="15" t="s">
        <v>55</v>
      </c>
      <c r="I234" s="14" t="str">
        <f t="shared" si="13"/>
        <v>CJ060009</v>
      </c>
      <c r="J234" s="14">
        <f t="shared" si="12"/>
        <v>4.59</v>
      </c>
      <c r="K234" s="14"/>
      <c r="L234" s="14"/>
      <c r="M234" s="16"/>
    </row>
    <row r="235" spans="1:13" ht="148.5">
      <c r="A235" s="18" t="s">
        <v>560</v>
      </c>
      <c r="B235" s="26" t="s">
        <v>561</v>
      </c>
      <c r="C235" s="11" t="e">
        <f ca="1">_xlfn.DISPIMG("ID_4D0E1D35813641C7B31CD647FBB2FFCF",1)</f>
        <v>#NAME?</v>
      </c>
      <c r="D235" s="19">
        <v>8.1999999999999993</v>
      </c>
      <c r="E235" s="10" t="s">
        <v>562</v>
      </c>
      <c r="F235" s="14" t="s">
        <v>261</v>
      </c>
      <c r="G235" s="15" t="s">
        <v>563</v>
      </c>
      <c r="H235" s="15" t="s">
        <v>17</v>
      </c>
      <c r="I235" s="14" t="str">
        <f t="shared" si="13"/>
        <v>CJ070001</v>
      </c>
      <c r="J235" s="14">
        <f t="shared" si="12"/>
        <v>9.18</v>
      </c>
      <c r="K235" s="14"/>
      <c r="L235" s="14"/>
      <c r="M235" s="33">
        <v>45952</v>
      </c>
    </row>
    <row r="236" spans="1:13" ht="135">
      <c r="A236" s="18" t="s">
        <v>564</v>
      </c>
      <c r="B236" s="26" t="s">
        <v>565</v>
      </c>
      <c r="C236" s="11" t="e">
        <f ca="1">_xlfn.DISPIMG("ID_3DC192B067514B34BBAA72615AD3A8F6",1)</f>
        <v>#NAME?</v>
      </c>
      <c r="D236" s="19">
        <v>8.9</v>
      </c>
      <c r="E236" s="10" t="s">
        <v>566</v>
      </c>
      <c r="F236" s="14" t="s">
        <v>261</v>
      </c>
      <c r="G236" s="15" t="s">
        <v>563</v>
      </c>
      <c r="H236" s="15" t="s">
        <v>23</v>
      </c>
      <c r="I236" s="14" t="str">
        <f t="shared" si="13"/>
        <v>CJ070002</v>
      </c>
      <c r="J236" s="14">
        <f t="shared" si="12"/>
        <v>9.9700000000000006</v>
      </c>
      <c r="K236" s="14"/>
      <c r="L236" s="14"/>
      <c r="M236" s="16"/>
    </row>
    <row r="237" spans="1:13" ht="135">
      <c r="A237" s="18" t="s">
        <v>564</v>
      </c>
      <c r="B237" s="18" t="s">
        <v>567</v>
      </c>
      <c r="C237" s="14" t="e">
        <f ca="1">_xlfn.DISPIMG("ID_DE99CA8BA5D245DCA34A1564515BE761",1)</f>
        <v>#NAME?</v>
      </c>
      <c r="D237" s="19">
        <v>6.5</v>
      </c>
      <c r="E237" s="35" t="s">
        <v>568</v>
      </c>
      <c r="F237" s="14" t="s">
        <v>261</v>
      </c>
      <c r="G237" s="15" t="s">
        <v>563</v>
      </c>
      <c r="H237" s="15" t="s">
        <v>26</v>
      </c>
      <c r="I237" s="14" t="str">
        <f t="shared" si="13"/>
        <v>CJ070003</v>
      </c>
      <c r="J237" s="14">
        <f t="shared" si="12"/>
        <v>7.28</v>
      </c>
      <c r="K237" s="14"/>
      <c r="L237" s="14"/>
      <c r="M237" s="16"/>
    </row>
    <row r="238" spans="1:13" ht="135">
      <c r="A238" s="18" t="s">
        <v>564</v>
      </c>
      <c r="B238" s="18" t="s">
        <v>569</v>
      </c>
      <c r="C238" s="14" t="e">
        <f ca="1">_xlfn.DISPIMG("ID_92167ED33BE84759954E3ABC4164E5DB",1)</f>
        <v>#NAME?</v>
      </c>
      <c r="D238" s="19">
        <v>16</v>
      </c>
      <c r="E238" s="35" t="s">
        <v>570</v>
      </c>
      <c r="F238" s="14" t="s">
        <v>261</v>
      </c>
      <c r="G238" s="15" t="s">
        <v>563</v>
      </c>
      <c r="H238" s="15" t="s">
        <v>29</v>
      </c>
      <c r="I238" s="14" t="str">
        <f t="shared" si="13"/>
        <v>CJ070004</v>
      </c>
      <c r="J238" s="14">
        <f t="shared" si="12"/>
        <v>17.920000000000002</v>
      </c>
      <c r="K238" s="14"/>
      <c r="L238" s="14"/>
      <c r="M238" s="16"/>
    </row>
    <row r="239" spans="1:13" ht="135">
      <c r="A239" s="18" t="s">
        <v>564</v>
      </c>
      <c r="B239" s="18" t="s">
        <v>565</v>
      </c>
      <c r="C239" s="14" t="e">
        <f ca="1">_xlfn.DISPIMG("ID_8A6E773480F041A38DD29A5C95EF2D16",1)</f>
        <v>#NAME?</v>
      </c>
      <c r="D239" s="19">
        <v>9.7333333333333343</v>
      </c>
      <c r="E239" s="35" t="s">
        <v>571</v>
      </c>
      <c r="F239" s="14" t="s">
        <v>261</v>
      </c>
      <c r="G239" s="15" t="s">
        <v>563</v>
      </c>
      <c r="H239" s="15" t="s">
        <v>42</v>
      </c>
      <c r="I239" s="14" t="str">
        <f t="shared" si="13"/>
        <v>CJ070005</v>
      </c>
      <c r="J239" s="14">
        <f t="shared" ref="J239:J301" si="14">ROUND(D239*1.12,2)</f>
        <v>10.9</v>
      </c>
      <c r="K239" s="14"/>
      <c r="L239" s="14"/>
      <c r="M239" s="16"/>
    </row>
    <row r="240" spans="1:13" ht="148.5">
      <c r="A240" s="18" t="s">
        <v>572</v>
      </c>
      <c r="B240" s="18" t="s">
        <v>573</v>
      </c>
      <c r="C240" s="11" t="e">
        <f ca="1">_xlfn.DISPIMG("ID_59C349CCB78143399DEE1762C1F8933C",1)</f>
        <v>#NAME?</v>
      </c>
      <c r="D240" s="19">
        <v>1.06</v>
      </c>
      <c r="E240" s="18" t="s">
        <v>574</v>
      </c>
      <c r="F240" s="14" t="s">
        <v>261</v>
      </c>
      <c r="G240" s="15" t="s">
        <v>563</v>
      </c>
      <c r="H240" s="15" t="s">
        <v>45</v>
      </c>
      <c r="I240" s="14" t="str">
        <f t="shared" si="13"/>
        <v>CJ070006</v>
      </c>
      <c r="J240" s="14">
        <f t="shared" si="14"/>
        <v>1.19</v>
      </c>
      <c r="K240" s="14"/>
      <c r="L240" s="14"/>
      <c r="M240" s="16"/>
    </row>
    <row r="241" spans="1:13" ht="185.25">
      <c r="A241" s="23" t="s">
        <v>575</v>
      </c>
      <c r="B241" s="23" t="s">
        <v>576</v>
      </c>
      <c r="C241" s="14" t="e">
        <f ca="1">_xlfn.DISPIMG("ID_3996BAE9F9A741DDB97146493E608E90",1)</f>
        <v>#NAME?</v>
      </c>
      <c r="D241" s="19">
        <v>5.6</v>
      </c>
      <c r="E241" s="23" t="s">
        <v>577</v>
      </c>
      <c r="F241" s="14" t="s">
        <v>261</v>
      </c>
      <c r="G241" s="15" t="s">
        <v>563</v>
      </c>
      <c r="H241" s="15" t="s">
        <v>48</v>
      </c>
      <c r="I241" s="14" t="str">
        <f t="shared" si="13"/>
        <v>CJ070007</v>
      </c>
      <c r="J241" s="14">
        <f t="shared" si="14"/>
        <v>6.27</v>
      </c>
      <c r="K241" s="14"/>
      <c r="L241" s="14"/>
      <c r="M241" s="33">
        <v>45949</v>
      </c>
    </row>
    <row r="242" spans="1:13" ht="135">
      <c r="A242" s="18" t="s">
        <v>578</v>
      </c>
      <c r="B242" s="26" t="s">
        <v>579</v>
      </c>
      <c r="C242" s="11" t="e">
        <f ca="1">_xlfn.DISPIMG("ID_477F65F76DB44E2BAA34A767BFD708AA",1)</f>
        <v>#NAME?</v>
      </c>
      <c r="D242" s="19">
        <v>6.7</v>
      </c>
      <c r="E242" s="18" t="s">
        <v>580</v>
      </c>
      <c r="F242" s="14" t="s">
        <v>581</v>
      </c>
      <c r="G242" s="15" t="s">
        <v>16</v>
      </c>
      <c r="H242" s="15" t="s">
        <v>17</v>
      </c>
      <c r="I242" s="14" t="str">
        <f t="shared" si="13"/>
        <v>CR010001</v>
      </c>
      <c r="J242" s="14">
        <f t="shared" si="14"/>
        <v>7.5</v>
      </c>
      <c r="K242" s="14"/>
      <c r="L242" s="14"/>
      <c r="M242" s="16"/>
    </row>
    <row r="243" spans="1:13" ht="135">
      <c r="A243" s="18" t="s">
        <v>578</v>
      </c>
      <c r="B243" s="26" t="s">
        <v>582</v>
      </c>
      <c r="C243" s="11" t="e">
        <f ca="1">_xlfn.DISPIMG("ID_1EE9AA1BF2734C16BAB00D8906D27918",1)</f>
        <v>#NAME?</v>
      </c>
      <c r="D243" s="19">
        <v>8.1999999999999993</v>
      </c>
      <c r="E243" s="18" t="s">
        <v>583</v>
      </c>
      <c r="F243" s="14" t="s">
        <v>581</v>
      </c>
      <c r="G243" s="15" t="s">
        <v>16</v>
      </c>
      <c r="H243" s="15" t="s">
        <v>23</v>
      </c>
      <c r="I243" s="14" t="str">
        <f t="shared" si="13"/>
        <v>CR010002</v>
      </c>
      <c r="J243" s="14">
        <f t="shared" si="14"/>
        <v>9.18</v>
      </c>
      <c r="K243" s="14"/>
      <c r="L243" s="14"/>
      <c r="M243" s="16"/>
    </row>
    <row r="244" spans="1:13" ht="135">
      <c r="A244" s="18" t="s">
        <v>578</v>
      </c>
      <c r="B244" s="18" t="s">
        <v>579</v>
      </c>
      <c r="C244" s="14" t="e">
        <f ca="1">_xlfn.DISPIMG("ID_5710483D88D449E984E3FF42A2A2F8F4",1)</f>
        <v>#NAME?</v>
      </c>
      <c r="D244" s="19">
        <v>6.3030303030303028</v>
      </c>
      <c r="E244" s="18" t="s">
        <v>584</v>
      </c>
      <c r="F244" s="14" t="s">
        <v>581</v>
      </c>
      <c r="G244" s="15" t="s">
        <v>16</v>
      </c>
      <c r="H244" s="15" t="s">
        <v>26</v>
      </c>
      <c r="I244" s="14" t="str">
        <f t="shared" si="13"/>
        <v>CR010003</v>
      </c>
      <c r="J244" s="14">
        <f t="shared" si="14"/>
        <v>7.06</v>
      </c>
      <c r="K244" s="14"/>
      <c r="L244" s="14"/>
      <c r="M244" s="16"/>
    </row>
    <row r="245" spans="1:13" ht="135">
      <c r="A245" s="18" t="s">
        <v>578</v>
      </c>
      <c r="B245" s="18" t="s">
        <v>585</v>
      </c>
      <c r="C245" s="14" t="e">
        <f ca="1">_xlfn.DISPIMG("ID_063E9AE0BD0744B786B4477B5655BD5E",1)</f>
        <v>#NAME?</v>
      </c>
      <c r="D245" s="19">
        <v>5.0030303030303029</v>
      </c>
      <c r="E245" s="18" t="s">
        <v>586</v>
      </c>
      <c r="F245" s="14" t="s">
        <v>581</v>
      </c>
      <c r="G245" s="15" t="s">
        <v>16</v>
      </c>
      <c r="H245" s="15" t="s">
        <v>29</v>
      </c>
      <c r="I245" s="14" t="str">
        <f t="shared" si="13"/>
        <v>CR010004</v>
      </c>
      <c r="J245" s="14">
        <f t="shared" si="14"/>
        <v>5.6</v>
      </c>
      <c r="K245" s="14"/>
      <c r="L245" s="14"/>
      <c r="M245" s="16"/>
    </row>
    <row r="246" spans="1:13" ht="135">
      <c r="A246" s="18" t="s">
        <v>578</v>
      </c>
      <c r="B246" s="18" t="s">
        <v>582</v>
      </c>
      <c r="C246" s="14" t="e">
        <f ca="1">_xlfn.DISPIMG("ID_DB68A60637764A149B51B79814DACCA3",1)</f>
        <v>#NAME?</v>
      </c>
      <c r="D246" s="19">
        <v>7.8030303030303028</v>
      </c>
      <c r="E246" s="18" t="s">
        <v>587</v>
      </c>
      <c r="F246" s="14" t="s">
        <v>581</v>
      </c>
      <c r="G246" s="15" t="s">
        <v>16</v>
      </c>
      <c r="H246" s="15" t="s">
        <v>42</v>
      </c>
      <c r="I246" s="14" t="str">
        <f t="shared" si="13"/>
        <v>CR010005</v>
      </c>
      <c r="J246" s="14">
        <f t="shared" si="14"/>
        <v>8.74</v>
      </c>
      <c r="K246" s="14"/>
      <c r="L246" s="14"/>
      <c r="M246" s="16"/>
    </row>
    <row r="247" spans="1:13" ht="135">
      <c r="A247" s="18" t="s">
        <v>578</v>
      </c>
      <c r="B247" s="18" t="s">
        <v>588</v>
      </c>
      <c r="C247" s="14" t="e">
        <f ca="1">_xlfn.DISPIMG("ID_ECFAB74900514CDE9B6976A5ADA640EA",1)</f>
        <v>#NAME?</v>
      </c>
      <c r="D247" s="19">
        <v>11.003030303030302</v>
      </c>
      <c r="E247" s="18" t="s">
        <v>589</v>
      </c>
      <c r="F247" s="14" t="s">
        <v>581</v>
      </c>
      <c r="G247" s="15" t="s">
        <v>16</v>
      </c>
      <c r="H247" s="15" t="s">
        <v>45</v>
      </c>
      <c r="I247" s="14" t="str">
        <f t="shared" si="13"/>
        <v>CR010006</v>
      </c>
      <c r="J247" s="14">
        <f t="shared" si="14"/>
        <v>12.32</v>
      </c>
      <c r="K247" s="14"/>
      <c r="L247" s="14"/>
      <c r="M247" s="16"/>
    </row>
    <row r="248" spans="1:13" ht="135">
      <c r="A248" s="18" t="s">
        <v>578</v>
      </c>
      <c r="B248" s="18" t="s">
        <v>590</v>
      </c>
      <c r="C248" s="14" t="e">
        <f ca="1">_xlfn.DISPIMG("ID_76952983518D4B66B1148F47CB23D9C9",1)</f>
        <v>#NAME?</v>
      </c>
      <c r="D248" s="19">
        <v>11.003030303030302</v>
      </c>
      <c r="E248" s="18" t="s">
        <v>591</v>
      </c>
      <c r="F248" s="14" t="s">
        <v>581</v>
      </c>
      <c r="G248" s="15" t="s">
        <v>16</v>
      </c>
      <c r="H248" s="15" t="s">
        <v>48</v>
      </c>
      <c r="I248" s="14" t="str">
        <f t="shared" si="13"/>
        <v>CR010007</v>
      </c>
      <c r="J248" s="14">
        <f t="shared" si="14"/>
        <v>12.32</v>
      </c>
      <c r="K248" s="14"/>
      <c r="L248" s="14"/>
      <c r="M248" s="16"/>
    </row>
    <row r="249" spans="1:13" ht="135">
      <c r="A249" s="18" t="s">
        <v>578</v>
      </c>
      <c r="B249" s="18" t="s">
        <v>592</v>
      </c>
      <c r="C249" s="14" t="e">
        <f ca="1">_xlfn.DISPIMG("ID_ECC337AB68BF47558755EFE924B39A76",1)</f>
        <v>#NAME?</v>
      </c>
      <c r="D249" s="19">
        <v>11.003030303030302</v>
      </c>
      <c r="E249" s="18" t="s">
        <v>593</v>
      </c>
      <c r="F249" s="14" t="s">
        <v>581</v>
      </c>
      <c r="G249" s="15" t="s">
        <v>16</v>
      </c>
      <c r="H249" s="15" t="s">
        <v>51</v>
      </c>
      <c r="I249" s="14" t="str">
        <f t="shared" si="13"/>
        <v>CR010008</v>
      </c>
      <c r="J249" s="14">
        <f t="shared" si="14"/>
        <v>12.32</v>
      </c>
      <c r="K249" s="14"/>
      <c r="L249" s="14"/>
      <c r="M249" s="16"/>
    </row>
    <row r="250" spans="1:13" ht="148.5">
      <c r="A250" s="18" t="s">
        <v>578</v>
      </c>
      <c r="B250" s="18" t="s">
        <v>594</v>
      </c>
      <c r="C250" s="14" t="e">
        <f ca="1">_xlfn.DISPIMG("ID_F59F842CA9A543088EFD7A3E30F9B97F",1)</f>
        <v>#NAME?</v>
      </c>
      <c r="D250" s="19">
        <v>6.3030303030303028</v>
      </c>
      <c r="E250" s="18" t="s">
        <v>595</v>
      </c>
      <c r="F250" s="14" t="s">
        <v>581</v>
      </c>
      <c r="G250" s="15" t="s">
        <v>16</v>
      </c>
      <c r="H250" s="15" t="s">
        <v>55</v>
      </c>
      <c r="I250" s="14" t="str">
        <f t="shared" si="13"/>
        <v>CR010009</v>
      </c>
      <c r="J250" s="14">
        <f t="shared" si="14"/>
        <v>7.06</v>
      </c>
      <c r="K250" s="14"/>
      <c r="L250" s="14"/>
      <c r="M250" s="16"/>
    </row>
    <row r="251" spans="1:13" ht="148.5">
      <c r="A251" s="18" t="s">
        <v>578</v>
      </c>
      <c r="B251" s="18" t="s">
        <v>596</v>
      </c>
      <c r="C251" s="14" t="e">
        <f ca="1">_xlfn.DISPIMG("ID_5F0660F545B249BDB2CB5C6469BE26A4",1)</f>
        <v>#NAME?</v>
      </c>
      <c r="D251" s="19">
        <v>6.3030303030303028</v>
      </c>
      <c r="E251" s="18" t="s">
        <v>597</v>
      </c>
      <c r="F251" s="14" t="s">
        <v>581</v>
      </c>
      <c r="G251" s="15" t="s">
        <v>16</v>
      </c>
      <c r="H251" s="15" t="s">
        <v>91</v>
      </c>
      <c r="I251" s="14" t="str">
        <f t="shared" si="13"/>
        <v>CR010010</v>
      </c>
      <c r="J251" s="14">
        <f t="shared" si="14"/>
        <v>7.06</v>
      </c>
      <c r="K251" s="14"/>
      <c r="L251" s="14"/>
      <c r="M251" s="16"/>
    </row>
    <row r="252" spans="1:13" ht="148.5">
      <c r="A252" s="18" t="s">
        <v>578</v>
      </c>
      <c r="B252" s="18" t="s">
        <v>598</v>
      </c>
      <c r="C252" s="14" t="e">
        <f ca="1">_xlfn.DISPIMG("ID_1476819A4C894D0ABFAE78A744056C1B",1)</f>
        <v>#NAME?</v>
      </c>
      <c r="D252" s="19">
        <v>6.3030303030303028</v>
      </c>
      <c r="E252" s="18" t="s">
        <v>599</v>
      </c>
      <c r="F252" s="14" t="s">
        <v>581</v>
      </c>
      <c r="G252" s="15" t="s">
        <v>16</v>
      </c>
      <c r="H252" s="15" t="s">
        <v>95</v>
      </c>
      <c r="I252" s="14" t="str">
        <f t="shared" si="13"/>
        <v>CR010011</v>
      </c>
      <c r="J252" s="14">
        <f t="shared" si="14"/>
        <v>7.06</v>
      </c>
      <c r="K252" s="14"/>
      <c r="L252" s="14"/>
      <c r="M252" s="16"/>
    </row>
    <row r="253" spans="1:13" ht="135">
      <c r="A253" s="18" t="s">
        <v>600</v>
      </c>
      <c r="B253" s="18" t="s">
        <v>601</v>
      </c>
      <c r="C253" s="14" t="e">
        <f ca="1">_xlfn.DISPIMG("ID_B170ED79649F4B62BD6DB511D2303472",1)</f>
        <v>#NAME?</v>
      </c>
      <c r="D253" s="19">
        <v>8.8000000000000007</v>
      </c>
      <c r="E253" s="18" t="s">
        <v>602</v>
      </c>
      <c r="F253" s="14" t="s">
        <v>581</v>
      </c>
      <c r="G253" s="15" t="s">
        <v>16</v>
      </c>
      <c r="H253" s="15" t="s">
        <v>98</v>
      </c>
      <c r="I253" s="14" t="str">
        <f t="shared" si="13"/>
        <v>CR010012</v>
      </c>
      <c r="J253" s="14">
        <f t="shared" si="14"/>
        <v>9.86</v>
      </c>
      <c r="K253" s="14"/>
      <c r="L253" s="14"/>
      <c r="M253" s="16"/>
    </row>
    <row r="254" spans="1:13" ht="135">
      <c r="A254" s="18" t="s">
        <v>600</v>
      </c>
      <c r="B254" s="18" t="s">
        <v>603</v>
      </c>
      <c r="C254" s="14" t="e">
        <f ca="1">_xlfn.DISPIMG("ID_BA3BD7810BEF4D9181A7F85DD000D589",1)</f>
        <v>#NAME?</v>
      </c>
      <c r="D254" s="19">
        <v>14</v>
      </c>
      <c r="E254" s="18" t="s">
        <v>604</v>
      </c>
      <c r="F254" s="14" t="s">
        <v>581</v>
      </c>
      <c r="G254" s="15" t="s">
        <v>16</v>
      </c>
      <c r="H254" s="15" t="s">
        <v>101</v>
      </c>
      <c r="I254" s="14" t="str">
        <f t="shared" si="13"/>
        <v>CR010013</v>
      </c>
      <c r="J254" s="14">
        <f t="shared" si="14"/>
        <v>15.68</v>
      </c>
      <c r="K254" s="14"/>
      <c r="L254" s="14"/>
      <c r="M254" s="16"/>
    </row>
    <row r="255" spans="1:13" ht="135">
      <c r="A255" s="18" t="s">
        <v>600</v>
      </c>
      <c r="B255" s="18" t="s">
        <v>605</v>
      </c>
      <c r="C255" s="14" t="e">
        <f ca="1">_xlfn.DISPIMG("ID_78D700AB55184DD99905CEF2FCEE9E62",1)</f>
        <v>#NAME?</v>
      </c>
      <c r="D255" s="19">
        <v>12</v>
      </c>
      <c r="E255" s="18" t="s">
        <v>606</v>
      </c>
      <c r="F255" s="14" t="s">
        <v>581</v>
      </c>
      <c r="G255" s="15" t="s">
        <v>16</v>
      </c>
      <c r="H255" s="15" t="s">
        <v>105</v>
      </c>
      <c r="I255" s="14" t="str">
        <f t="shared" si="13"/>
        <v>CR010014</v>
      </c>
      <c r="J255" s="14">
        <f t="shared" si="14"/>
        <v>13.44</v>
      </c>
      <c r="K255" s="14"/>
      <c r="L255" s="14"/>
      <c r="M255" s="16"/>
    </row>
    <row r="256" spans="1:13" ht="135">
      <c r="A256" s="18" t="s">
        <v>600</v>
      </c>
      <c r="B256" s="18" t="s">
        <v>607</v>
      </c>
      <c r="C256" s="14" t="e">
        <f ca="1">_xlfn.DISPIMG("ID_CABD1C9CE2EB40F4A55DE26DD9AFA583",1)</f>
        <v>#NAME?</v>
      </c>
      <c r="D256" s="19">
        <v>18.8</v>
      </c>
      <c r="E256" s="18" t="s">
        <v>608</v>
      </c>
      <c r="F256" s="14" t="s">
        <v>581</v>
      </c>
      <c r="G256" s="15" t="s">
        <v>16</v>
      </c>
      <c r="H256" s="15" t="s">
        <v>109</v>
      </c>
      <c r="I256" s="14" t="str">
        <f t="shared" si="13"/>
        <v>CR010015</v>
      </c>
      <c r="J256" s="14">
        <f t="shared" si="14"/>
        <v>21.06</v>
      </c>
      <c r="K256" s="14"/>
      <c r="L256" s="14"/>
      <c r="M256" s="16"/>
    </row>
    <row r="257" spans="1:13" ht="135">
      <c r="A257" s="18" t="s">
        <v>609</v>
      </c>
      <c r="B257" s="18" t="s">
        <v>610</v>
      </c>
      <c r="C257" s="14" t="e">
        <f ca="1">_xlfn.DISPIMG("ID_1B99B768ABA24A0BBACE601C0D5798CA",1)</f>
        <v>#NAME?</v>
      </c>
      <c r="D257" s="19">
        <v>10.867647058823529</v>
      </c>
      <c r="E257" s="18" t="s">
        <v>611</v>
      </c>
      <c r="F257" s="14" t="s">
        <v>581</v>
      </c>
      <c r="G257" s="15" t="s">
        <v>16</v>
      </c>
      <c r="H257" s="15" t="s">
        <v>112</v>
      </c>
      <c r="I257" s="14" t="str">
        <f t="shared" si="13"/>
        <v>CR010016</v>
      </c>
      <c r="J257" s="14">
        <f t="shared" si="14"/>
        <v>12.17</v>
      </c>
      <c r="K257" s="14"/>
      <c r="L257" s="14"/>
      <c r="M257" s="16"/>
    </row>
    <row r="258" spans="1:13" ht="135">
      <c r="A258" s="18" t="s">
        <v>609</v>
      </c>
      <c r="B258" s="18" t="s">
        <v>612</v>
      </c>
      <c r="C258" s="14" t="e">
        <f ca="1">_xlfn.DISPIMG("ID_3CB41946DEEF46C98C7FA06A8A524ECD",1)</f>
        <v>#NAME?</v>
      </c>
      <c r="D258" s="19">
        <v>8.9176470588235297</v>
      </c>
      <c r="E258" s="18" t="s">
        <v>613</v>
      </c>
      <c r="F258" s="14" t="s">
        <v>581</v>
      </c>
      <c r="G258" s="15" t="s">
        <v>16</v>
      </c>
      <c r="H258" s="15" t="s">
        <v>115</v>
      </c>
      <c r="I258" s="14" t="str">
        <f t="shared" si="13"/>
        <v>CR010017</v>
      </c>
      <c r="J258" s="14">
        <f t="shared" si="14"/>
        <v>9.99</v>
      </c>
      <c r="K258" s="14"/>
      <c r="L258" s="14"/>
      <c r="M258" s="16"/>
    </row>
    <row r="259" spans="1:13" ht="135">
      <c r="A259" s="18" t="s">
        <v>609</v>
      </c>
      <c r="B259" s="18" t="s">
        <v>614</v>
      </c>
      <c r="C259" s="43" t="e">
        <f ca="1">_xlfn.DISPIMG("ID_5EF0C6D168C04CED98728144FC5E135B",1)</f>
        <v>#NAME?</v>
      </c>
      <c r="D259" s="19">
        <v>13.817647058823528</v>
      </c>
      <c r="E259" s="18" t="s">
        <v>615</v>
      </c>
      <c r="F259" s="14" t="s">
        <v>581</v>
      </c>
      <c r="G259" s="15" t="s">
        <v>16</v>
      </c>
      <c r="H259" s="15" t="s">
        <v>118</v>
      </c>
      <c r="I259" s="14" t="str">
        <f t="shared" si="13"/>
        <v>CR010018</v>
      </c>
      <c r="J259" s="14">
        <f t="shared" si="14"/>
        <v>15.48</v>
      </c>
      <c r="K259" s="14"/>
      <c r="L259" s="14"/>
      <c r="M259" s="16"/>
    </row>
    <row r="260" spans="1:13" ht="135">
      <c r="A260" s="18" t="s">
        <v>609</v>
      </c>
      <c r="B260" s="18" t="s">
        <v>616</v>
      </c>
      <c r="C260" s="43" t="e">
        <f ca="1">_xlfn.DISPIMG("ID_F41D06975FD64509A6E35B733A9FF156",1)</f>
        <v>#NAME?</v>
      </c>
      <c r="D260" s="19">
        <v>9.867647058823529</v>
      </c>
      <c r="E260" s="18" t="s">
        <v>617</v>
      </c>
      <c r="F260" s="14" t="s">
        <v>581</v>
      </c>
      <c r="G260" s="15" t="s">
        <v>16</v>
      </c>
      <c r="H260" s="15" t="s">
        <v>122</v>
      </c>
      <c r="I260" s="14" t="str">
        <f t="shared" si="13"/>
        <v>CR010019</v>
      </c>
      <c r="J260" s="14">
        <f t="shared" si="14"/>
        <v>11.05</v>
      </c>
      <c r="K260" s="14"/>
      <c r="L260" s="14"/>
      <c r="M260" s="16"/>
    </row>
    <row r="261" spans="1:13" ht="135">
      <c r="A261" s="18" t="s">
        <v>609</v>
      </c>
      <c r="B261" s="18" t="s">
        <v>618</v>
      </c>
      <c r="C261" s="43" t="e">
        <f ca="1">_xlfn.DISPIMG("ID_BF9EACD0701C4F58906E9F823FE2E9E5",1)</f>
        <v>#NAME?</v>
      </c>
      <c r="D261" s="19">
        <v>11.117647058823529</v>
      </c>
      <c r="E261" s="18" t="s">
        <v>619</v>
      </c>
      <c r="F261" s="14" t="s">
        <v>581</v>
      </c>
      <c r="G261" s="15" t="s">
        <v>16</v>
      </c>
      <c r="H261" s="15" t="s">
        <v>129</v>
      </c>
      <c r="I261" s="14" t="str">
        <f t="shared" si="13"/>
        <v>CR010020</v>
      </c>
      <c r="J261" s="14">
        <f t="shared" si="14"/>
        <v>12.45</v>
      </c>
      <c r="K261" s="14"/>
      <c r="L261" s="14"/>
      <c r="M261" s="16"/>
    </row>
    <row r="262" spans="1:13" ht="135">
      <c r="A262" s="18" t="s">
        <v>609</v>
      </c>
      <c r="B262" s="18" t="s">
        <v>620</v>
      </c>
      <c r="C262" s="43" t="e">
        <f ca="1">_xlfn.DISPIMG("ID_8E78CC4D34D943719E8527EED645911D",1)</f>
        <v>#NAME?</v>
      </c>
      <c r="D262" s="19">
        <v>11.91764705882353</v>
      </c>
      <c r="E262" s="18" t="s">
        <v>621</v>
      </c>
      <c r="F262" s="14" t="s">
        <v>581</v>
      </c>
      <c r="G262" s="15" t="s">
        <v>16</v>
      </c>
      <c r="H262" s="15" t="s">
        <v>133</v>
      </c>
      <c r="I262" s="14" t="str">
        <f t="shared" si="13"/>
        <v>CR010021</v>
      </c>
      <c r="J262" s="14">
        <f t="shared" si="14"/>
        <v>13.35</v>
      </c>
      <c r="K262" s="14"/>
      <c r="L262" s="14"/>
      <c r="M262" s="16"/>
    </row>
    <row r="263" spans="1:13" ht="135">
      <c r="A263" s="18" t="s">
        <v>609</v>
      </c>
      <c r="B263" s="18" t="s">
        <v>622</v>
      </c>
      <c r="C263" s="43" t="e">
        <f ca="1">_xlfn.DISPIMG("ID_960016FBAC4B404DBB328BBFF2F8DAFD",1)</f>
        <v>#NAME?</v>
      </c>
      <c r="D263" s="19">
        <v>8.9176470588235297</v>
      </c>
      <c r="E263" s="18" t="s">
        <v>623</v>
      </c>
      <c r="F263" s="14" t="s">
        <v>581</v>
      </c>
      <c r="G263" s="15" t="s">
        <v>16</v>
      </c>
      <c r="H263" s="15" t="s">
        <v>136</v>
      </c>
      <c r="I263" s="14" t="str">
        <f t="shared" si="13"/>
        <v>CR010022</v>
      </c>
      <c r="J263" s="14">
        <f t="shared" si="14"/>
        <v>9.99</v>
      </c>
      <c r="K263" s="14"/>
      <c r="L263" s="14"/>
      <c r="M263" s="16"/>
    </row>
    <row r="264" spans="1:13" ht="162">
      <c r="A264" s="18" t="s">
        <v>609</v>
      </c>
      <c r="B264" s="18" t="s">
        <v>624</v>
      </c>
      <c r="C264" s="43" t="e">
        <f ca="1">_xlfn.DISPIMG("ID_579CE5239400489C875CDC21FBEABB4B",1)</f>
        <v>#NAME?</v>
      </c>
      <c r="D264" s="19">
        <v>29.117647058823529</v>
      </c>
      <c r="E264" s="18" t="s">
        <v>625</v>
      </c>
      <c r="F264" s="14" t="s">
        <v>581</v>
      </c>
      <c r="G264" s="15" t="s">
        <v>16</v>
      </c>
      <c r="H264" s="15" t="s">
        <v>139</v>
      </c>
      <c r="I264" s="14" t="str">
        <f t="shared" si="13"/>
        <v>CR010023</v>
      </c>
      <c r="J264" s="14">
        <f t="shared" si="14"/>
        <v>32.61</v>
      </c>
      <c r="K264" s="14"/>
      <c r="L264" s="14"/>
      <c r="M264" s="16"/>
    </row>
    <row r="265" spans="1:13" ht="135">
      <c r="A265" s="18" t="s">
        <v>609</v>
      </c>
      <c r="B265" s="18" t="s">
        <v>626</v>
      </c>
      <c r="C265" s="43" t="e">
        <f ca="1">_xlfn.DISPIMG("ID_05F8F230767340BB8D757F8587B96043",1)</f>
        <v>#NAME?</v>
      </c>
      <c r="D265" s="19">
        <v>16.747647058823532</v>
      </c>
      <c r="E265" s="18" t="s">
        <v>627</v>
      </c>
      <c r="F265" s="14" t="s">
        <v>581</v>
      </c>
      <c r="G265" s="15" t="s">
        <v>16</v>
      </c>
      <c r="H265" s="15" t="s">
        <v>141</v>
      </c>
      <c r="I265" s="14" t="str">
        <f t="shared" si="13"/>
        <v>CR010024</v>
      </c>
      <c r="J265" s="14">
        <f t="shared" si="14"/>
        <v>18.760000000000002</v>
      </c>
      <c r="K265" s="14"/>
      <c r="L265" s="14"/>
      <c r="M265" s="16"/>
    </row>
    <row r="266" spans="1:13" ht="135">
      <c r="A266" s="18" t="s">
        <v>609</v>
      </c>
      <c r="B266" s="18" t="s">
        <v>628</v>
      </c>
      <c r="C266" s="43" t="e">
        <f ca="1">_xlfn.DISPIMG("ID_7312E17434E243D8AC2B8A0E96F09B68",1)</f>
        <v>#NAME?</v>
      </c>
      <c r="D266" s="19">
        <v>6.9176470588235297</v>
      </c>
      <c r="E266" s="18" t="s">
        <v>629</v>
      </c>
      <c r="F266" s="14" t="s">
        <v>581</v>
      </c>
      <c r="G266" s="15" t="s">
        <v>16</v>
      </c>
      <c r="H266" s="15" t="s">
        <v>143</v>
      </c>
      <c r="I266" s="14" t="str">
        <f t="shared" si="13"/>
        <v>CR010025</v>
      </c>
      <c r="J266" s="14">
        <f t="shared" si="14"/>
        <v>7.75</v>
      </c>
      <c r="K266" s="14"/>
      <c r="L266" s="14"/>
      <c r="M266" s="16"/>
    </row>
    <row r="267" spans="1:13" ht="162">
      <c r="A267" s="18" t="s">
        <v>609</v>
      </c>
      <c r="B267" s="18" t="s">
        <v>630</v>
      </c>
      <c r="C267" s="43" t="e">
        <f ca="1">_xlfn.DISPIMG("ID_1042C931B1064C1A89E6B68921F1375C",1)</f>
        <v>#NAME?</v>
      </c>
      <c r="D267" s="19">
        <v>41.117647058823529</v>
      </c>
      <c r="E267" s="18" t="s">
        <v>631</v>
      </c>
      <c r="F267" s="14" t="s">
        <v>581</v>
      </c>
      <c r="G267" s="15" t="s">
        <v>16</v>
      </c>
      <c r="H267" s="15" t="s">
        <v>147</v>
      </c>
      <c r="I267" s="14" t="str">
        <f t="shared" si="13"/>
        <v>CR010026</v>
      </c>
      <c r="J267" s="14">
        <f t="shared" si="14"/>
        <v>46.05</v>
      </c>
      <c r="K267" s="14"/>
      <c r="L267" s="14"/>
      <c r="M267" s="16"/>
    </row>
    <row r="268" spans="1:13" ht="162">
      <c r="A268" s="18" t="s">
        <v>609</v>
      </c>
      <c r="B268" s="18" t="s">
        <v>632</v>
      </c>
      <c r="C268" s="43" t="e">
        <f ca="1">_xlfn.DISPIMG("ID_BAF342604046424CB578E94118ABBE37",1)</f>
        <v>#NAME?</v>
      </c>
      <c r="D268" s="19">
        <v>37.117647058823529</v>
      </c>
      <c r="E268" s="18" t="s">
        <v>633</v>
      </c>
      <c r="F268" s="14" t="s">
        <v>581</v>
      </c>
      <c r="G268" s="15" t="s">
        <v>16</v>
      </c>
      <c r="H268" s="15" t="s">
        <v>151</v>
      </c>
      <c r="I268" s="14" t="str">
        <f t="shared" si="13"/>
        <v>CR010027</v>
      </c>
      <c r="J268" s="14">
        <f t="shared" si="14"/>
        <v>41.57</v>
      </c>
      <c r="K268" s="14"/>
      <c r="L268" s="14"/>
      <c r="M268" s="16"/>
    </row>
    <row r="269" spans="1:13" ht="162">
      <c r="A269" s="18" t="s">
        <v>609</v>
      </c>
      <c r="B269" s="18" t="s">
        <v>634</v>
      </c>
      <c r="C269" s="43" t="e">
        <f ca="1">_xlfn.DISPIMG("ID_EB746F734620407CB15FBA8B8DD0D7FE",1)</f>
        <v>#NAME?</v>
      </c>
      <c r="D269" s="19">
        <v>39.117647058823529</v>
      </c>
      <c r="E269" s="18" t="s">
        <v>635</v>
      </c>
      <c r="F269" s="14" t="s">
        <v>581</v>
      </c>
      <c r="G269" s="15" t="s">
        <v>16</v>
      </c>
      <c r="H269" s="15" t="s">
        <v>155</v>
      </c>
      <c r="I269" s="14" t="str">
        <f t="shared" si="13"/>
        <v>CR010028</v>
      </c>
      <c r="J269" s="14">
        <f t="shared" si="14"/>
        <v>43.81</v>
      </c>
      <c r="K269" s="14"/>
      <c r="L269" s="14"/>
      <c r="M269" s="16"/>
    </row>
    <row r="270" spans="1:13" ht="189">
      <c r="A270" s="18" t="s">
        <v>609</v>
      </c>
      <c r="B270" s="18" t="s">
        <v>636</v>
      </c>
      <c r="C270" s="43" t="e">
        <f ca="1">_xlfn.DISPIMG("ID_DA3D9477910F4AAD8858C58082D8939C",1)</f>
        <v>#NAME?</v>
      </c>
      <c r="D270" s="19">
        <v>39.117647058823529</v>
      </c>
      <c r="E270" s="18" t="s">
        <v>637</v>
      </c>
      <c r="F270" s="14" t="s">
        <v>581</v>
      </c>
      <c r="G270" s="15" t="s">
        <v>16</v>
      </c>
      <c r="H270" s="15" t="s">
        <v>161</v>
      </c>
      <c r="I270" s="14" t="str">
        <f t="shared" si="13"/>
        <v>CR010029</v>
      </c>
      <c r="J270" s="14">
        <f t="shared" si="14"/>
        <v>43.81</v>
      </c>
      <c r="K270" s="14"/>
      <c r="L270" s="14"/>
      <c r="M270" s="16"/>
    </row>
    <row r="271" spans="1:13" ht="135">
      <c r="A271" s="18" t="s">
        <v>609</v>
      </c>
      <c r="B271" s="18" t="s">
        <v>638</v>
      </c>
      <c r="C271" s="43" t="e">
        <f ca="1">_xlfn.DISPIMG("ID_465F4CA65A7B485391FDF2ADD9A552DE",1)</f>
        <v>#NAME?</v>
      </c>
      <c r="D271" s="19">
        <v>16.117647058823529</v>
      </c>
      <c r="E271" s="18" t="s">
        <v>639</v>
      </c>
      <c r="F271" s="14" t="s">
        <v>581</v>
      </c>
      <c r="G271" s="15" t="s">
        <v>16</v>
      </c>
      <c r="H271" s="15" t="s">
        <v>167</v>
      </c>
      <c r="I271" s="14" t="str">
        <f t="shared" si="13"/>
        <v>CR010030</v>
      </c>
      <c r="J271" s="14">
        <f t="shared" si="14"/>
        <v>18.05</v>
      </c>
      <c r="K271" s="14"/>
      <c r="L271" s="14"/>
      <c r="M271" s="16"/>
    </row>
    <row r="272" spans="1:13" ht="162">
      <c r="A272" s="18" t="s">
        <v>609</v>
      </c>
      <c r="B272" s="18" t="s">
        <v>640</v>
      </c>
      <c r="C272" s="43" t="e">
        <f ca="1">_xlfn.DISPIMG("ID_C83127A000DE4DD296435E69DFF7E68B",1)</f>
        <v>#NAME?</v>
      </c>
      <c r="D272" s="19">
        <v>20.117647058823529</v>
      </c>
      <c r="E272" s="18" t="s">
        <v>641</v>
      </c>
      <c r="F272" s="14" t="s">
        <v>581</v>
      </c>
      <c r="G272" s="15" t="s">
        <v>16</v>
      </c>
      <c r="H272" s="15" t="s">
        <v>169</v>
      </c>
      <c r="I272" s="14" t="str">
        <f t="shared" si="13"/>
        <v>CR010031</v>
      </c>
      <c r="J272" s="14">
        <f t="shared" si="14"/>
        <v>22.53</v>
      </c>
      <c r="K272" s="14"/>
      <c r="L272" s="14"/>
      <c r="M272" s="16"/>
    </row>
    <row r="273" spans="1:13" ht="121.5">
      <c r="A273" s="18" t="s">
        <v>609</v>
      </c>
      <c r="B273" s="18" t="s">
        <v>642</v>
      </c>
      <c r="C273" s="43" t="e">
        <f ca="1">_xlfn.DISPIMG("ID_EBB0CC58119745EEBFE12DE99005E47B",1)</f>
        <v>#NAME?</v>
      </c>
      <c r="D273" s="19">
        <v>15.41764705882353</v>
      </c>
      <c r="E273" s="18" t="s">
        <v>643</v>
      </c>
      <c r="F273" s="14" t="s">
        <v>581</v>
      </c>
      <c r="G273" s="15" t="s">
        <v>16</v>
      </c>
      <c r="H273" s="15" t="s">
        <v>171</v>
      </c>
      <c r="I273" s="14" t="str">
        <f t="shared" si="13"/>
        <v>CR010032</v>
      </c>
      <c r="J273" s="14">
        <f t="shared" si="14"/>
        <v>17.27</v>
      </c>
      <c r="K273" s="14"/>
      <c r="L273" s="14"/>
      <c r="M273" s="16"/>
    </row>
    <row r="274" spans="1:13" ht="40.5">
      <c r="A274" s="30"/>
      <c r="B274" s="30" t="s">
        <v>644</v>
      </c>
      <c r="C274" s="14" t="e">
        <f ca="1">_xlfn.DISPIMG("ID_441CF855671247508D480AD34561AC8C",1)</f>
        <v>#NAME?</v>
      </c>
      <c r="D274" s="19">
        <v>1.6325396825396825</v>
      </c>
      <c r="E274" s="30" t="s">
        <v>645</v>
      </c>
      <c r="F274" s="14" t="s">
        <v>646</v>
      </c>
      <c r="G274" s="15" t="s">
        <v>16</v>
      </c>
      <c r="H274" s="15" t="s">
        <v>17</v>
      </c>
      <c r="I274" s="14" t="str">
        <f t="shared" si="13"/>
        <v>CW010001</v>
      </c>
      <c r="J274" s="14">
        <f t="shared" si="14"/>
        <v>1.83</v>
      </c>
      <c r="K274" s="14"/>
      <c r="L274" s="14"/>
      <c r="M274" s="16"/>
    </row>
    <row r="275" spans="1:13" ht="27">
      <c r="A275" s="30"/>
      <c r="B275" s="35" t="s">
        <v>647</v>
      </c>
      <c r="C275" s="31" t="e">
        <f ca="1">_xlfn.DISPIMG("ID_4224E81DBC694AAA895F33718656DA10",1)</f>
        <v>#NAME?</v>
      </c>
      <c r="D275" s="19">
        <v>1.6325396825396825</v>
      </c>
      <c r="E275" s="30" t="s">
        <v>648</v>
      </c>
      <c r="F275" s="14" t="s">
        <v>646</v>
      </c>
      <c r="G275" s="15" t="s">
        <v>16</v>
      </c>
      <c r="H275" s="15" t="s">
        <v>23</v>
      </c>
      <c r="I275" s="14" t="str">
        <f t="shared" si="13"/>
        <v>CW010002</v>
      </c>
      <c r="J275" s="14">
        <f t="shared" si="14"/>
        <v>1.83</v>
      </c>
      <c r="K275" s="14"/>
      <c r="L275" s="14"/>
      <c r="M275" s="16"/>
    </row>
    <row r="276" spans="1:13" ht="40.5">
      <c r="A276" s="30"/>
      <c r="B276" s="30" t="s">
        <v>649</v>
      </c>
      <c r="C276" s="31" t="e">
        <f ca="1">_xlfn.DISPIMG("ID_4224E81DBC694AAA895F33718656DA10",1)</f>
        <v>#NAME?</v>
      </c>
      <c r="D276" s="19">
        <v>1.6325396825396825</v>
      </c>
      <c r="E276" s="30" t="s">
        <v>650</v>
      </c>
      <c r="F276" s="14" t="s">
        <v>646</v>
      </c>
      <c r="G276" s="15" t="s">
        <v>16</v>
      </c>
      <c r="H276" s="15" t="s">
        <v>26</v>
      </c>
      <c r="I276" s="14" t="str">
        <f t="shared" si="13"/>
        <v>CW010003</v>
      </c>
      <c r="J276" s="14">
        <f t="shared" si="14"/>
        <v>1.83</v>
      </c>
      <c r="K276" s="14"/>
      <c r="L276" s="14"/>
      <c r="M276" s="16"/>
    </row>
    <row r="277" spans="1:13" ht="40.5">
      <c r="A277" s="30"/>
      <c r="B277" s="30" t="s">
        <v>651</v>
      </c>
      <c r="C277" s="31" t="e">
        <f ca="1">_xlfn.DISPIMG("ID_4224E81DBC694AAA895F33718656DA10",1)</f>
        <v>#NAME?</v>
      </c>
      <c r="D277" s="19">
        <v>1.6325396825396825</v>
      </c>
      <c r="E277" s="30" t="s">
        <v>652</v>
      </c>
      <c r="F277" s="14" t="s">
        <v>646</v>
      </c>
      <c r="G277" s="15" t="s">
        <v>16</v>
      </c>
      <c r="H277" s="15" t="s">
        <v>29</v>
      </c>
      <c r="I277" s="14" t="str">
        <f t="shared" si="13"/>
        <v>CW010004</v>
      </c>
      <c r="J277" s="14">
        <f t="shared" si="14"/>
        <v>1.83</v>
      </c>
      <c r="K277" s="14"/>
      <c r="L277" s="14"/>
      <c r="M277" s="16"/>
    </row>
    <row r="278" spans="1:13" ht="40.5">
      <c r="A278" s="30"/>
      <c r="B278" s="30" t="s">
        <v>653</v>
      </c>
      <c r="C278" s="31" t="e">
        <f ca="1">_xlfn.DISPIMG("ID_4224E81DBC694AAA895F33718656DA10",1)</f>
        <v>#NAME?</v>
      </c>
      <c r="D278" s="19">
        <v>1.6325396825396825</v>
      </c>
      <c r="E278" s="30" t="s">
        <v>654</v>
      </c>
      <c r="F278" s="14" t="s">
        <v>646</v>
      </c>
      <c r="G278" s="15" t="s">
        <v>16</v>
      </c>
      <c r="H278" s="15" t="s">
        <v>42</v>
      </c>
      <c r="I278" s="14" t="str">
        <f t="shared" si="13"/>
        <v>CW010005</v>
      </c>
      <c r="J278" s="14">
        <f t="shared" si="14"/>
        <v>1.83</v>
      </c>
      <c r="K278" s="14"/>
      <c r="L278" s="14"/>
      <c r="M278" s="16"/>
    </row>
    <row r="279" spans="1:13" ht="162">
      <c r="A279" s="18" t="s">
        <v>655</v>
      </c>
      <c r="B279" s="18" t="s">
        <v>656</v>
      </c>
      <c r="C279" s="14" t="e">
        <f ca="1">_xlfn.DISPIMG("ID_7B23C41BCEE447E2967609571CAAE48E",1)</f>
        <v>#NAME?</v>
      </c>
      <c r="D279" s="19">
        <v>8.6999999999999993</v>
      </c>
      <c r="E279" s="10" t="s">
        <v>657</v>
      </c>
      <c r="F279" s="14" t="s">
        <v>646</v>
      </c>
      <c r="G279" s="15" t="s">
        <v>16</v>
      </c>
      <c r="H279" s="15" t="s">
        <v>45</v>
      </c>
      <c r="I279" s="14" t="str">
        <f t="shared" si="13"/>
        <v>CW010006</v>
      </c>
      <c r="J279" s="14">
        <f t="shared" si="14"/>
        <v>9.74</v>
      </c>
      <c r="K279" s="14"/>
      <c r="L279" s="14"/>
      <c r="M279" s="16"/>
    </row>
    <row r="280" spans="1:13" ht="162">
      <c r="A280" s="18" t="s">
        <v>655</v>
      </c>
      <c r="B280" s="18" t="s">
        <v>658</v>
      </c>
      <c r="C280" s="14" t="e">
        <f ca="1">_xlfn.DISPIMG("ID_2E0D6344ACAB4DC0BC46E58969B02D7F",1)</f>
        <v>#NAME?</v>
      </c>
      <c r="D280" s="19">
        <v>8.6999999999999993</v>
      </c>
      <c r="E280" s="10" t="s">
        <v>659</v>
      </c>
      <c r="F280" s="14" t="s">
        <v>646</v>
      </c>
      <c r="G280" s="15" t="s">
        <v>16</v>
      </c>
      <c r="H280" s="15" t="s">
        <v>48</v>
      </c>
      <c r="I280" s="14" t="str">
        <f t="shared" si="13"/>
        <v>CW010007</v>
      </c>
      <c r="J280" s="14">
        <f t="shared" si="14"/>
        <v>9.74</v>
      </c>
      <c r="K280" s="14"/>
      <c r="L280" s="14"/>
      <c r="M280" s="16"/>
    </row>
    <row r="281" spans="1:13" ht="148.5">
      <c r="A281" s="18" t="s">
        <v>660</v>
      </c>
      <c r="B281" s="18" t="s">
        <v>661</v>
      </c>
      <c r="C281" s="14" t="e">
        <f ca="1">_xlfn.DISPIMG("ID_053B6A8604E34BFC8B1C4BE617DCB39E",1)</f>
        <v>#NAME?</v>
      </c>
      <c r="D281" s="19">
        <v>8.89</v>
      </c>
      <c r="E281" s="18" t="s">
        <v>662</v>
      </c>
      <c r="F281" s="14" t="s">
        <v>646</v>
      </c>
      <c r="G281" s="15" t="s">
        <v>16</v>
      </c>
      <c r="H281" s="15" t="s">
        <v>51</v>
      </c>
      <c r="I281" s="14" t="str">
        <f t="shared" si="13"/>
        <v>CW010008</v>
      </c>
      <c r="J281" s="14">
        <f t="shared" si="14"/>
        <v>9.9600000000000009</v>
      </c>
      <c r="K281" s="14"/>
      <c r="L281" s="14"/>
      <c r="M281" s="16"/>
    </row>
    <row r="282" spans="1:13" ht="148.5">
      <c r="A282" s="18" t="s">
        <v>660</v>
      </c>
      <c r="B282" s="18" t="s">
        <v>663</v>
      </c>
      <c r="C282" s="14" t="e">
        <f ca="1">_xlfn.DISPIMG("ID_E48F9332704B439980647578E2D016AF",1)</f>
        <v>#NAME?</v>
      </c>
      <c r="D282" s="19">
        <v>8.89</v>
      </c>
      <c r="E282" s="18" t="s">
        <v>664</v>
      </c>
      <c r="F282" s="14" t="s">
        <v>646</v>
      </c>
      <c r="G282" s="15" t="s">
        <v>16</v>
      </c>
      <c r="H282" s="15" t="s">
        <v>55</v>
      </c>
      <c r="I282" s="14" t="str">
        <f t="shared" si="13"/>
        <v>CW010009</v>
      </c>
      <c r="J282" s="14">
        <f t="shared" si="14"/>
        <v>9.9600000000000009</v>
      </c>
      <c r="K282" s="14"/>
      <c r="L282" s="14"/>
      <c r="M282" s="16"/>
    </row>
    <row r="283" spans="1:13" ht="148.5">
      <c r="A283" s="18" t="s">
        <v>660</v>
      </c>
      <c r="B283" s="18" t="s">
        <v>665</v>
      </c>
      <c r="C283" s="14" t="e">
        <f ca="1">_xlfn.DISPIMG("ID_385D817D867441E297EEA10CB4D676EF",1)</f>
        <v>#NAME?</v>
      </c>
      <c r="D283" s="19">
        <v>8.89</v>
      </c>
      <c r="E283" s="18" t="s">
        <v>666</v>
      </c>
      <c r="F283" s="14" t="s">
        <v>646</v>
      </c>
      <c r="G283" s="15" t="s">
        <v>16</v>
      </c>
      <c r="H283" s="15" t="s">
        <v>91</v>
      </c>
      <c r="I283" s="14" t="str">
        <f t="shared" si="13"/>
        <v>CW010010</v>
      </c>
      <c r="J283" s="14">
        <f t="shared" si="14"/>
        <v>9.9600000000000009</v>
      </c>
      <c r="K283" s="14"/>
      <c r="L283" s="14"/>
      <c r="M283" s="16"/>
    </row>
    <row r="284" spans="1:13" ht="148.5">
      <c r="A284" s="18" t="s">
        <v>660</v>
      </c>
      <c r="B284" s="18" t="s">
        <v>667</v>
      </c>
      <c r="C284" s="14" t="e">
        <f ca="1">_xlfn.DISPIMG("ID_C612F1D23700441C81A3E40AB812BA8B",1)</f>
        <v>#NAME?</v>
      </c>
      <c r="D284" s="19">
        <v>8.89</v>
      </c>
      <c r="E284" s="18" t="s">
        <v>668</v>
      </c>
      <c r="F284" s="14" t="s">
        <v>646</v>
      </c>
      <c r="G284" s="15" t="s">
        <v>16</v>
      </c>
      <c r="H284" s="15" t="s">
        <v>95</v>
      </c>
      <c r="I284" s="14" t="str">
        <f t="shared" si="13"/>
        <v>CW010011</v>
      </c>
      <c r="J284" s="14">
        <f t="shared" si="14"/>
        <v>9.9600000000000009</v>
      </c>
      <c r="K284" s="14"/>
      <c r="L284" s="14"/>
      <c r="M284" s="16"/>
    </row>
    <row r="285" spans="1:13" ht="162">
      <c r="A285" s="18" t="s">
        <v>669</v>
      </c>
      <c r="B285" s="18" t="s">
        <v>670</v>
      </c>
      <c r="C285" s="11" t="e">
        <f ca="1">_xlfn.DISPIMG("ID_E0C5C693E6E44964B28FEA895FFD7D97",1)</f>
        <v>#NAME?</v>
      </c>
      <c r="D285" s="19">
        <v>18.73</v>
      </c>
      <c r="E285" s="18" t="s">
        <v>671</v>
      </c>
      <c r="F285" s="14" t="s">
        <v>646</v>
      </c>
      <c r="G285" s="15" t="s">
        <v>16</v>
      </c>
      <c r="H285" s="15" t="s">
        <v>98</v>
      </c>
      <c r="I285" s="14" t="str">
        <f t="shared" si="13"/>
        <v>CW010012</v>
      </c>
      <c r="J285" s="14">
        <f t="shared" si="14"/>
        <v>20.98</v>
      </c>
      <c r="K285" s="14"/>
      <c r="L285" s="14"/>
      <c r="M285" s="16"/>
    </row>
    <row r="286" spans="1:13" ht="148.5">
      <c r="A286" s="18" t="s">
        <v>672</v>
      </c>
      <c r="B286" s="18" t="s">
        <v>673</v>
      </c>
      <c r="C286" s="11" t="e">
        <f ca="1">_xlfn.DISPIMG("ID_7CB158E017734E08BCD95858E9D991DC",1)</f>
        <v>#NAME?</v>
      </c>
      <c r="D286" s="19">
        <v>9.3333333333333339</v>
      </c>
      <c r="E286" s="10" t="s">
        <v>674</v>
      </c>
      <c r="F286" s="14" t="s">
        <v>646</v>
      </c>
      <c r="G286" s="15" t="s">
        <v>16</v>
      </c>
      <c r="H286" s="15" t="s">
        <v>101</v>
      </c>
      <c r="I286" s="14" t="str">
        <f t="shared" si="13"/>
        <v>CW010013</v>
      </c>
      <c r="J286" s="14">
        <f t="shared" si="14"/>
        <v>10.45</v>
      </c>
      <c r="K286" s="14"/>
      <c r="L286" s="14"/>
      <c r="M286" s="16"/>
    </row>
    <row r="287" spans="1:13" ht="148.5">
      <c r="A287" s="18" t="s">
        <v>672</v>
      </c>
      <c r="B287" s="18" t="s">
        <v>675</v>
      </c>
      <c r="C287" s="11" t="e">
        <f ca="1">_xlfn.DISPIMG("ID_F5941C23246D47AA8B1E93E5BEDEB46B",1)</f>
        <v>#NAME?</v>
      </c>
      <c r="D287" s="19">
        <v>9.3333333333333339</v>
      </c>
      <c r="E287" s="10" t="s">
        <v>676</v>
      </c>
      <c r="F287" s="14" t="s">
        <v>646</v>
      </c>
      <c r="G287" s="15" t="s">
        <v>16</v>
      </c>
      <c r="H287" s="15" t="s">
        <v>105</v>
      </c>
      <c r="I287" s="14" t="str">
        <f t="shared" si="13"/>
        <v>CW010014</v>
      </c>
      <c r="J287" s="14">
        <f t="shared" si="14"/>
        <v>10.45</v>
      </c>
      <c r="K287" s="14"/>
      <c r="L287" s="14"/>
      <c r="M287" s="16"/>
    </row>
    <row r="288" spans="1:13" ht="148.5">
      <c r="A288" s="18" t="s">
        <v>672</v>
      </c>
      <c r="B288" s="18" t="s">
        <v>677</v>
      </c>
      <c r="C288" s="14" t="e">
        <f ca="1">_xlfn.DISPIMG("ID_5475CF700B63471EB30EE58F6843F020",1)</f>
        <v>#NAME?</v>
      </c>
      <c r="D288" s="19">
        <v>9.3333333333333339</v>
      </c>
      <c r="E288" s="10" t="s">
        <v>678</v>
      </c>
      <c r="F288" s="14" t="s">
        <v>646</v>
      </c>
      <c r="G288" s="15" t="s">
        <v>16</v>
      </c>
      <c r="H288" s="15" t="s">
        <v>109</v>
      </c>
      <c r="I288" s="14" t="str">
        <f t="shared" si="13"/>
        <v>CW010015</v>
      </c>
      <c r="J288" s="14">
        <f t="shared" si="14"/>
        <v>10.45</v>
      </c>
      <c r="K288" s="14"/>
      <c r="L288" s="14"/>
      <c r="M288" s="16"/>
    </row>
    <row r="289" spans="1:13" ht="148.5">
      <c r="A289" s="18" t="s">
        <v>672</v>
      </c>
      <c r="B289" s="18" t="s">
        <v>679</v>
      </c>
      <c r="C289" s="14" t="e">
        <f ca="1">_xlfn.DISPIMG("ID_1443681986A742BA983B1267DF2A3856",1)</f>
        <v>#NAME?</v>
      </c>
      <c r="D289" s="19">
        <v>9.3333333333333339</v>
      </c>
      <c r="E289" s="18" t="s">
        <v>680</v>
      </c>
      <c r="F289" s="14" t="s">
        <v>646</v>
      </c>
      <c r="G289" s="15" t="s">
        <v>16</v>
      </c>
      <c r="H289" s="15" t="s">
        <v>112</v>
      </c>
      <c r="I289" s="14" t="str">
        <f t="shared" si="13"/>
        <v>CW010016</v>
      </c>
      <c r="J289" s="14">
        <f t="shared" si="14"/>
        <v>10.45</v>
      </c>
      <c r="K289" s="14"/>
      <c r="L289" s="14"/>
      <c r="M289" s="16"/>
    </row>
    <row r="290" spans="1:13" ht="148.5">
      <c r="A290" s="18" t="s">
        <v>672</v>
      </c>
      <c r="B290" s="18" t="s">
        <v>681</v>
      </c>
      <c r="C290" s="14" t="e">
        <f ca="1">_xlfn.DISPIMG("ID_EEBD82F4164D49368D9FB9ABA614B8DB",1)</f>
        <v>#NAME?</v>
      </c>
      <c r="D290" s="19">
        <v>9.3333333333333339</v>
      </c>
      <c r="E290" s="18" t="s">
        <v>682</v>
      </c>
      <c r="F290" s="14" t="s">
        <v>646</v>
      </c>
      <c r="G290" s="15" t="s">
        <v>16</v>
      </c>
      <c r="H290" s="15" t="s">
        <v>115</v>
      </c>
      <c r="I290" s="14" t="str">
        <f t="shared" si="13"/>
        <v>CW010017</v>
      </c>
      <c r="J290" s="14">
        <f t="shared" si="14"/>
        <v>10.45</v>
      </c>
      <c r="K290" s="14"/>
      <c r="L290" s="14"/>
      <c r="M290" s="16"/>
    </row>
    <row r="291" spans="1:13" ht="148.5">
      <c r="A291" s="18" t="s">
        <v>672</v>
      </c>
      <c r="B291" s="18" t="s">
        <v>683</v>
      </c>
      <c r="C291" s="14" t="e">
        <f ca="1">_xlfn.DISPIMG("ID_7B7997830615422ABE04482E0EB14647",1)</f>
        <v>#NAME?</v>
      </c>
      <c r="D291" s="19">
        <v>9.3333333333333339</v>
      </c>
      <c r="E291" s="18" t="s">
        <v>684</v>
      </c>
      <c r="F291" s="14" t="s">
        <v>646</v>
      </c>
      <c r="G291" s="15" t="s">
        <v>16</v>
      </c>
      <c r="H291" s="15" t="s">
        <v>118</v>
      </c>
      <c r="I291" s="14" t="str">
        <f t="shared" si="13"/>
        <v>CW010018</v>
      </c>
      <c r="J291" s="14">
        <f t="shared" si="14"/>
        <v>10.45</v>
      </c>
      <c r="K291" s="14"/>
      <c r="L291" s="14"/>
      <c r="M291" s="16"/>
    </row>
    <row r="292" spans="1:13" ht="162">
      <c r="A292" s="21" t="s">
        <v>655</v>
      </c>
      <c r="B292" s="10" t="s">
        <v>685</v>
      </c>
      <c r="C292" s="14" t="e">
        <f ca="1">_xlfn.DISPIMG("ID_95603C734FD74FE594D7E52D51DC5924",1)</f>
        <v>#NAME?</v>
      </c>
      <c r="D292" s="19">
        <v>8.6999999999999993</v>
      </c>
      <c r="E292" s="23" t="s">
        <v>686</v>
      </c>
      <c r="F292" s="14" t="s">
        <v>646</v>
      </c>
      <c r="G292" s="15" t="s">
        <v>16</v>
      </c>
      <c r="H292" s="15" t="s">
        <v>122</v>
      </c>
      <c r="I292" s="14" t="str">
        <f t="shared" si="13"/>
        <v>CW010019</v>
      </c>
      <c r="J292" s="14">
        <f t="shared" si="14"/>
        <v>9.74</v>
      </c>
      <c r="K292" s="14"/>
      <c r="L292" s="14"/>
      <c r="M292" s="16"/>
    </row>
    <row r="293" spans="1:13" ht="142.5">
      <c r="A293" s="23" t="s">
        <v>687</v>
      </c>
      <c r="B293" s="23" t="s">
        <v>688</v>
      </c>
      <c r="C293" s="14" t="e">
        <f ca="1">_xlfn.DISPIMG("ID_9FCB505E7E70487D971604E610A157F4",1)</f>
        <v>#NAME?</v>
      </c>
      <c r="D293" s="19">
        <v>11</v>
      </c>
      <c r="E293" s="23" t="s">
        <v>689</v>
      </c>
      <c r="F293" s="14" t="s">
        <v>646</v>
      </c>
      <c r="G293" s="15" t="s">
        <v>16</v>
      </c>
      <c r="H293" s="15" t="s">
        <v>129</v>
      </c>
      <c r="I293" s="14" t="str">
        <f t="shared" ref="I293:I301" si="15">F293&amp;G293&amp;H293</f>
        <v>CW010020</v>
      </c>
      <c r="J293" s="14">
        <f t="shared" si="14"/>
        <v>12.32</v>
      </c>
      <c r="K293" s="14"/>
      <c r="L293" s="14"/>
      <c r="M293" s="16"/>
    </row>
    <row r="294" spans="1:13" ht="114">
      <c r="A294" s="23" t="s">
        <v>687</v>
      </c>
      <c r="B294" s="23" t="s">
        <v>690</v>
      </c>
      <c r="C294" s="14" t="e">
        <f ca="1">_xlfn.DISPIMG("ID_2A89766909694BEA94723DC7863C4C67",1)</f>
        <v>#NAME?</v>
      </c>
      <c r="D294" s="19">
        <v>11</v>
      </c>
      <c r="E294" s="23" t="s">
        <v>691</v>
      </c>
      <c r="F294" s="14" t="s">
        <v>646</v>
      </c>
      <c r="G294" s="15" t="s">
        <v>16</v>
      </c>
      <c r="H294" s="20" t="s">
        <v>139</v>
      </c>
      <c r="I294" s="14" t="str">
        <f t="shared" si="15"/>
        <v>CW010023</v>
      </c>
      <c r="J294" s="14">
        <f t="shared" si="14"/>
        <v>12.32</v>
      </c>
      <c r="K294" s="14"/>
      <c r="L294" s="14"/>
      <c r="M294" s="16"/>
    </row>
    <row r="295" spans="1:13" ht="156.75">
      <c r="A295" s="23" t="s">
        <v>672</v>
      </c>
      <c r="B295" s="23" t="s">
        <v>692</v>
      </c>
      <c r="C295" s="14" t="e">
        <f ca="1">_xlfn.DISPIMG("ID_D5B7CFE4F22D4C68A5B7E290334F0344",1)</f>
        <v>#NAME?</v>
      </c>
      <c r="D295" s="19">
        <v>9.1</v>
      </c>
      <c r="E295" s="23" t="s">
        <v>693</v>
      </c>
      <c r="F295" s="14" t="s">
        <v>646</v>
      </c>
      <c r="G295" s="15" t="s">
        <v>16</v>
      </c>
      <c r="H295" s="15" t="s">
        <v>133</v>
      </c>
      <c r="I295" s="14" t="str">
        <f t="shared" si="15"/>
        <v>CW010021</v>
      </c>
      <c r="J295" s="14">
        <f t="shared" si="14"/>
        <v>10.19</v>
      </c>
      <c r="K295" s="14"/>
      <c r="L295" s="14"/>
      <c r="M295" s="16"/>
    </row>
    <row r="296" spans="1:13" ht="156.75">
      <c r="A296" s="23" t="s">
        <v>672</v>
      </c>
      <c r="B296" s="23" t="s">
        <v>692</v>
      </c>
      <c r="C296" s="14" t="e">
        <f ca="1">_xlfn.DISPIMG("ID_5D6F3978E7CA4EF485FF024711AB6AE6",1)</f>
        <v>#NAME?</v>
      </c>
      <c r="D296" s="19">
        <v>9.1</v>
      </c>
      <c r="E296" s="23" t="s">
        <v>694</v>
      </c>
      <c r="F296" s="14" t="s">
        <v>646</v>
      </c>
      <c r="G296" s="15" t="s">
        <v>16</v>
      </c>
      <c r="H296" s="15" t="s">
        <v>136</v>
      </c>
      <c r="I296" s="14" t="str">
        <f t="shared" si="15"/>
        <v>CW010022</v>
      </c>
      <c r="J296" s="14">
        <f t="shared" si="14"/>
        <v>10.19</v>
      </c>
      <c r="K296" s="14"/>
      <c r="L296" s="14"/>
      <c r="M296" s="16"/>
    </row>
    <row r="297" spans="1:13" ht="148.5">
      <c r="A297" s="18" t="s">
        <v>695</v>
      </c>
      <c r="B297" s="18" t="s">
        <v>696</v>
      </c>
      <c r="C297" s="14" t="e">
        <f ca="1">_xlfn.DISPIMG("ID_BACE4F4547D34A83ABB7BD73D3DDF453",1)</f>
        <v>#NAME?</v>
      </c>
      <c r="D297" s="19">
        <v>3.31</v>
      </c>
      <c r="E297" s="18" t="s">
        <v>697</v>
      </c>
      <c r="F297" s="14" t="s">
        <v>646</v>
      </c>
      <c r="G297" s="15" t="s">
        <v>218</v>
      </c>
      <c r="H297" s="15" t="s">
        <v>17</v>
      </c>
      <c r="I297" s="14" t="str">
        <f t="shared" si="15"/>
        <v>CW020001</v>
      </c>
      <c r="J297" s="14">
        <f t="shared" si="14"/>
        <v>3.71</v>
      </c>
      <c r="K297" s="14"/>
      <c r="L297" s="14"/>
      <c r="M297" s="16"/>
    </row>
    <row r="298" spans="1:13" ht="135">
      <c r="A298" s="18" t="s">
        <v>695</v>
      </c>
      <c r="B298" s="18" t="s">
        <v>698</v>
      </c>
      <c r="C298" s="14" t="e">
        <f ca="1">_xlfn.DISPIMG("ID_BC47ACBA0A38440F8FBA34A81C6B14CC",1)</f>
        <v>#NAME?</v>
      </c>
      <c r="D298" s="19">
        <v>3.25</v>
      </c>
      <c r="E298" s="18" t="s">
        <v>699</v>
      </c>
      <c r="F298" s="14" t="s">
        <v>646</v>
      </c>
      <c r="G298" s="15" t="s">
        <v>218</v>
      </c>
      <c r="H298" s="15" t="s">
        <v>23</v>
      </c>
      <c r="I298" s="14" t="str">
        <f t="shared" si="15"/>
        <v>CW020002</v>
      </c>
      <c r="J298" s="14">
        <f t="shared" si="14"/>
        <v>3.64</v>
      </c>
      <c r="K298" s="14"/>
      <c r="L298" s="14"/>
      <c r="M298" s="16"/>
    </row>
    <row r="299" spans="1:13" ht="135">
      <c r="A299" s="18" t="s">
        <v>695</v>
      </c>
      <c r="B299" s="18" t="s">
        <v>700</v>
      </c>
      <c r="C299" s="14" t="e">
        <f ca="1">_xlfn.DISPIMG("ID_F4AF0EFE3C704B9AA4E9AA76A26F3045",1)</f>
        <v>#NAME?</v>
      </c>
      <c r="D299" s="19">
        <v>3.25</v>
      </c>
      <c r="E299" s="18" t="s">
        <v>701</v>
      </c>
      <c r="F299" s="14" t="s">
        <v>646</v>
      </c>
      <c r="G299" s="15" t="s">
        <v>218</v>
      </c>
      <c r="H299" s="15" t="s">
        <v>26</v>
      </c>
      <c r="I299" s="14" t="str">
        <f t="shared" si="15"/>
        <v>CW020003</v>
      </c>
      <c r="J299" s="14">
        <f t="shared" si="14"/>
        <v>3.64</v>
      </c>
      <c r="K299" s="14"/>
      <c r="L299" s="14"/>
      <c r="M299" s="16"/>
    </row>
    <row r="300" spans="1:13" ht="108">
      <c r="A300" s="10" t="s">
        <v>702</v>
      </c>
      <c r="B300" s="10" t="s">
        <v>703</v>
      </c>
      <c r="C300" s="11" t="e">
        <f ca="1">_xlfn.DISPIMG("ID_D7562615953D4C3684F1170363FC07DA",1)</f>
        <v>#NAME?</v>
      </c>
      <c r="D300" s="19">
        <v>7.6</v>
      </c>
      <c r="E300" s="10" t="s">
        <v>704</v>
      </c>
      <c r="F300" s="14" t="s">
        <v>646</v>
      </c>
      <c r="G300" s="15" t="s">
        <v>218</v>
      </c>
      <c r="H300" s="20" t="s">
        <v>51</v>
      </c>
      <c r="I300" s="14" t="str">
        <f t="shared" si="15"/>
        <v>CW020008</v>
      </c>
      <c r="J300" s="14">
        <f t="shared" si="14"/>
        <v>8.51</v>
      </c>
      <c r="K300" s="14"/>
      <c r="L300" s="14"/>
      <c r="M300" s="16"/>
    </row>
    <row r="301" spans="1:13" ht="108">
      <c r="A301" s="10" t="s">
        <v>702</v>
      </c>
      <c r="B301" s="10" t="s">
        <v>703</v>
      </c>
      <c r="C301" s="11" t="e">
        <f ca="1">_xlfn.DISPIMG("ID_FB1C34B79BDF49C8A3CAA5FDBCCABEF2",1)</f>
        <v>#NAME?</v>
      </c>
      <c r="D301" s="19">
        <v>7.6</v>
      </c>
      <c r="E301" s="10" t="s">
        <v>705</v>
      </c>
      <c r="F301" s="14" t="s">
        <v>646</v>
      </c>
      <c r="G301" s="15" t="s">
        <v>218</v>
      </c>
      <c r="H301" s="20" t="s">
        <v>55</v>
      </c>
      <c r="I301" s="14" t="str">
        <f t="shared" si="15"/>
        <v>CW020009</v>
      </c>
      <c r="J301" s="14">
        <f t="shared" si="14"/>
        <v>8.51</v>
      </c>
      <c r="K301" s="14"/>
      <c r="L301" s="14"/>
      <c r="M301" s="16"/>
    </row>
  </sheetData>
  <phoneticPr fontId="2" type="noConversion"/>
  <conditionalFormatting sqref="I1:I301">
    <cfRule type="expression" dxfId="1" priority="1">
      <formula>AND(SUMPRODUCT(IFERROR(1*(($I:$I&amp;"x")=(I1&amp;"x")),0))&gt;1,NOT(ISBLANK(I1)))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ELEBEST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ELEBEST</dc:creator>
  <cp:lastModifiedBy>ELEBEST</cp:lastModifiedBy>
  <dcterms:created xsi:type="dcterms:W3CDTF">2026-01-28T09:12:06Z</dcterms:created>
  <dcterms:modified xsi:type="dcterms:W3CDTF">2026-01-28T09:12:34Z</dcterms:modified>
</cp:coreProperties>
</file>